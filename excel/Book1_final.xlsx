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heet1" sheetId="1" state="visible" r:id="rId3"/>
    <sheet name="Sheet2" sheetId="2" state="visible" r:id="rId4"/>
    <sheet name="Main Tasks" sheetId="3" state="visible" r:id="rId5"/>
    <sheet name="Solu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<sst xmlns="http://schemas.openxmlformats.org/spreadsheetml/2006/main" count="450" uniqueCount="304">
  <si>
    <t xml:space="preserve">PR. 1 Fundamental Booster</t>
  </si>
  <si>
    <t xml:space="preserve">Student ID</t>
  </si>
  <si>
    <t xml:space="preserve">Name</t>
  </si>
  <si>
    <t xml:space="preserve">Math</t>
  </si>
  <si>
    <t xml:space="preserve">Science</t>
  </si>
  <si>
    <t xml:space="preserve">English</t>
  </si>
  <si>
    <t xml:space="preserve">Enrollment Date</t>
  </si>
  <si>
    <t xml:space="preserve">Grade (Math)</t>
  </si>
  <si>
    <t xml:space="preserve">Sales ID</t>
  </si>
  <si>
    <t xml:space="preserve">Product</t>
  </si>
  <si>
    <t xml:space="preserve">Region</t>
  </si>
  <si>
    <t xml:space="preserve">Salesperson</t>
  </si>
  <si>
    <t xml:space="preserve">Amount</t>
  </si>
  <si>
    <t xml:space="preserve">Date</t>
  </si>
  <si>
    <t xml:space="preserve">Discount Eligible?</t>
  </si>
  <si>
    <t xml:space="preserve">Employee ID</t>
  </si>
  <si>
    <t xml:space="preserve">Department</t>
  </si>
  <si>
    <t xml:space="preserve">Salary</t>
  </si>
  <si>
    <t xml:space="preserve">Joining Date</t>
  </si>
  <si>
    <t xml:space="preserve">Years of Service</t>
  </si>
  <si>
    <t xml:space="preserve">Topics: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
Main Tasks: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
Deliverable:
Complete the given worksheets by applying the required formulas in respective sheets.</t>
  </si>
  <si>
    <t xml:space="preserve">Student 1</t>
  </si>
  <si>
    <t xml:space="preserve">Keyboard</t>
  </si>
  <si>
    <t xml:space="preserve">South</t>
  </si>
  <si>
    <t xml:space="preserve">Person 1</t>
  </si>
  <si>
    <t xml:space="preserve">Employee 1</t>
  </si>
  <si>
    <t xml:space="preserve">Finance</t>
  </si>
  <si>
    <t xml:space="preserve">Student 2</t>
  </si>
  <si>
    <t xml:space="preserve">Printer</t>
  </si>
  <si>
    <t xml:space="preserve">West</t>
  </si>
  <si>
    <t xml:space="preserve">Person 2</t>
  </si>
  <si>
    <t xml:space="preserve">Employee 2</t>
  </si>
  <si>
    <t xml:space="preserve">Student 3</t>
  </si>
  <si>
    <t xml:space="preserve">Mouse</t>
  </si>
  <si>
    <t xml:space="preserve">Person 3</t>
  </si>
  <si>
    <t xml:space="preserve">Employee 3</t>
  </si>
  <si>
    <t xml:space="preserve">HR</t>
  </si>
  <si>
    <t xml:space="preserve">Essential Tasks</t>
  </si>
  <si>
    <t xml:space="preserve">Student 4</t>
  </si>
  <si>
    <t xml:space="preserve">East</t>
  </si>
  <si>
    <t xml:space="preserve">Person 4</t>
  </si>
  <si>
    <t xml:space="preserve">Employee 4</t>
  </si>
  <si>
    <t xml:space="preserve">Relative &amp; Absolute Cell References, Formatting, and Data Input</t>
  </si>
  <si>
    <t xml:space="preserve">Student 5</t>
  </si>
  <si>
    <t xml:space="preserve">North</t>
  </si>
  <si>
    <t xml:space="preserve">Person 5</t>
  </si>
  <si>
    <t xml:space="preserve">Employee 5</t>
  </si>
  <si>
    <t xml:space="preserve">IT</t>
  </si>
  <si>
    <t xml:space="preserve">Enter and format data (bold, italic, currency, date, custom formats).</t>
  </si>
  <si>
    <t xml:space="preserve">Student 6</t>
  </si>
  <si>
    <t xml:space="preserve">Person 6</t>
  </si>
  <si>
    <t xml:space="preserve">Employee 6</t>
  </si>
  <si>
    <t xml:space="preserve">Use absolute ($A$1) and relative (A1) references in formulas.</t>
  </si>
  <si>
    <t xml:space="preserve">Student 7</t>
  </si>
  <si>
    <t xml:space="preserve">Person 7</t>
  </si>
  <si>
    <t xml:space="preserve">Employee 7</t>
  </si>
  <si>
    <t xml:space="preserve">Marketing</t>
  </si>
  <si>
    <t xml:space="preserve">Student 8</t>
  </si>
  <si>
    <t xml:space="preserve">Person 8</t>
  </si>
  <si>
    <t xml:space="preserve">Employee 8</t>
  </si>
  <si>
    <t xml:space="preserve">Using IF Formula &amp; Nesting IF Formulas</t>
  </si>
  <si>
    <t xml:space="preserve">Student 9</t>
  </si>
  <si>
    <t xml:space="preserve">Person 9</t>
  </si>
  <si>
    <t xml:space="preserve">Employee 9</t>
  </si>
  <si>
    <t xml:space="preserve">Classify students' grades based on their scores.</t>
  </si>
  <si>
    <t xml:space="preserve">Student 10</t>
  </si>
  <si>
    <t xml:space="preserve">Person 10</t>
  </si>
  <si>
    <t xml:space="preserve">Employee 10</t>
  </si>
  <si>
    <t xml:space="preserve">Compute discounts for sales based on price thresholds.</t>
  </si>
  <si>
    <t xml:space="preserve">Student 11</t>
  </si>
  <si>
    <t xml:space="preserve">Person 11</t>
  </si>
  <si>
    <t xml:space="preserve">Employee 11</t>
  </si>
  <si>
    <t xml:space="preserve">Student 12</t>
  </si>
  <si>
    <t xml:space="preserve">Monitor</t>
  </si>
  <si>
    <t xml:space="preserve">Person 12</t>
  </si>
  <si>
    <t xml:space="preserve">Employee 12</t>
  </si>
  <si>
    <t xml:space="preserve">Using IF with AND/OR Formulas</t>
  </si>
  <si>
    <t xml:space="preserve">Student 13</t>
  </si>
  <si>
    <t xml:space="preserve">Laptop</t>
  </si>
  <si>
    <t xml:space="preserve">Person 13</t>
  </si>
  <si>
    <t xml:space="preserve">Employee 13</t>
  </si>
  <si>
    <t xml:space="preserve">Identify students who scored above 80 in both Math &amp; Science using IF(AND(...)).</t>
  </si>
  <si>
    <t xml:space="preserve">Student 14</t>
  </si>
  <si>
    <t xml:space="preserve">Person 14</t>
  </si>
  <si>
    <t xml:space="preserve">Employee 14</t>
  </si>
  <si>
    <t xml:space="preserve">Determine whether a product is eligible for discount using IF(OR(...)).</t>
  </si>
  <si>
    <t xml:space="preserve">Student 15</t>
  </si>
  <si>
    <t xml:space="preserve">Person 15</t>
  </si>
  <si>
    <t xml:space="preserve">Employee 15</t>
  </si>
  <si>
    <t xml:space="preserve">Student 16</t>
  </si>
  <si>
    <t xml:space="preserve">Person 16</t>
  </si>
  <si>
    <t xml:space="preserve">Employee 16</t>
  </si>
  <si>
    <t xml:space="preserve">COUNTIFS, SUMIFS, AVERAGEIFS</t>
  </si>
  <si>
    <t xml:space="preserve">Student 17</t>
  </si>
  <si>
    <t xml:space="preserve">Person 17</t>
  </si>
  <si>
    <t xml:space="preserve">Employee 17</t>
  </si>
  <si>
    <t xml:space="preserve">Count the number of students who scored above 50 in Math.</t>
  </si>
  <si>
    <t xml:space="preserve">Student 18</t>
  </si>
  <si>
    <t xml:space="preserve">Person 18</t>
  </si>
  <si>
    <t xml:space="preserve">Employee 18</t>
  </si>
  <si>
    <t xml:space="preserve">Sum total sales for a specific region and product.</t>
  </si>
  <si>
    <t xml:space="preserve">Student 19</t>
  </si>
  <si>
    <t xml:space="preserve">Person 19</t>
  </si>
  <si>
    <t xml:space="preserve">Employee 19</t>
  </si>
  <si>
    <t xml:space="preserve">Calculate the average score for students who scored above 60.</t>
  </si>
  <si>
    <t xml:space="preserve">Student 20</t>
  </si>
  <si>
    <t xml:space="preserve">Person 20</t>
  </si>
  <si>
    <t xml:space="preserve">Employee 20</t>
  </si>
  <si>
    <t xml:space="preserve">VLOOKUP Function</t>
  </si>
  <si>
    <t xml:space="preserve">Fetch student names based on ID from a separate dataset.</t>
  </si>
  <si>
    <t xml:space="preserve">Retrieve product prices based on product codes.</t>
  </si>
  <si>
    <t xml:space="preserve">INDEX and MATCH Functions</t>
  </si>
  <si>
    <t xml:space="preserve">Find sales values for a specific salesperson in a specific month.</t>
  </si>
  <si>
    <t xml:space="preserve">Look up employee details dynamically without column restrictions.</t>
  </si>
  <si>
    <t xml:space="preserve">Excel TEXT Functions</t>
  </si>
  <si>
    <t xml:space="preserve">Extract the first name from full names using LEFT and FIND.</t>
  </si>
  <si>
    <t xml:space="preserve">Convert names to uppercase/lowercase using UPPER(), LOWER().</t>
  </si>
  <si>
    <t xml:space="preserve">XLOOKUP Function</t>
  </si>
  <si>
    <t xml:space="preserve">Search for salesperson performance based on flexible search criteria.</t>
  </si>
  <si>
    <t xml:space="preserve">Find employee salaries without worrying about sorted data.</t>
  </si>
  <si>
    <t xml:space="preserve">XMATCH Function</t>
  </si>
  <si>
    <t xml:space="preserve">Find the position of a product in a sales list.</t>
  </si>
  <si>
    <t xml:space="preserve">INDIRECT Function</t>
  </si>
  <si>
    <t xml:space="preserve">Dynamically reference a cell range using INDIRECT.</t>
  </si>
  <si>
    <t xml:space="preserve">OFFSET Function</t>
  </si>
  <si>
    <t xml:space="preserve">Create dynamic ranges for sales trends.</t>
  </si>
  <si>
    <t xml:space="preserve">Date and Time Functions</t>
  </si>
  <si>
    <t xml:space="preserve">Calculate age from date of birth.</t>
  </si>
  <si>
    <t xml:space="preserve">Find the difference in days between two dates.</t>
  </si>
  <si>
    <t xml:space="preserve">Math Functions</t>
  </si>
  <si>
    <t xml:space="preserve">Use ROUND(), CEILING(), and FLOOR() for financial calculations.</t>
  </si>
  <si>
    <t xml:space="preserve">Return Multiple Values using FILTER Function</t>
  </si>
  <si>
    <t xml:space="preserve">Extract a list of top-performing students based on scores.</t>
  </si>
  <si>
    <t xml:space="preserve">Quick Summary (COUNTIFS / SUMIFS / AVERAGEIFS)</t>
  </si>
  <si>
    <t xml:space="preserve">Students scoring &gt; 50 in Math (COUNTIFS)</t>
  </si>
  <si>
    <t xml:space="preserve">Avg Math score where Math &gt; 60 (AVERAGEIFS)</t>
  </si>
  <si>
    <t xml:space="preserve">Total East Keyboard sales (SUMIFS)</t>
  </si>
  <si>
    <t xml:space="preserve">Count Laptop East sales (COUNTIFS)</t>
  </si>
  <si>
    <t xml:space="preserve">Avg IT Dept salary (AVERAGEIFS)</t>
  </si>
  <si>
    <t xml:space="preserve">PR.1 Fundamental Booster — Main Tasks Deliverable</t>
  </si>
  <si>
    <t xml:space="preserve">All 6 required tasks solved with Excel formulas referencing the source data in Sheet1</t>
  </si>
  <si>
    <t xml:space="preserve">TASK 1 — Apply IF Formulas to Classify Student Grades  (≥90→A | ≥75→B | ≥60→C | else→F)</t>
  </si>
  <si>
    <t xml:space="preserve">Math Grade</t>
  </si>
  <si>
    <t xml:space="preserve">Science Grade</t>
  </si>
  <si>
    <t xml:space="preserve">English Grade</t>
  </si>
  <si>
    <t xml:space="preserve">Overall Grade</t>
  </si>
  <si>
    <t xml:space="preserve">Discount on Sales (IF)</t>
  </si>
  <si>
    <t xml:space="preserve">TASK 2 — Use COUNTIFS to Count Students Scoring Above 60 (per subject &amp; combined)</t>
  </si>
  <si>
    <t xml:space="preserve">Metric</t>
  </si>
  <si>
    <t xml:space="preserve">Formula</t>
  </si>
  <si>
    <t xml:space="preserve">Result</t>
  </si>
  <si>
    <t xml:space="preserve">Notes</t>
  </si>
  <si>
    <t xml:space="preserve">Math &gt; 60</t>
  </si>
  <si>
    <t xml:space="preserve">'=COUNTIFS(Sheet1!E2:E21,"&gt;60")</t>
  </si>
  <si>
    <t xml:space="preserve">Science &gt; 60</t>
  </si>
  <si>
    <t xml:space="preserve">'=COUNTIFS(Sheet1!F2:F21,"&gt;60")</t>
  </si>
  <si>
    <t xml:space="preserve">Count students where that subject score exceeds 60</t>
  </si>
  <si>
    <t xml:space="preserve">English &gt; 60</t>
  </si>
  <si>
    <t xml:space="preserve">'=COUNTIFS(Sheet1!G2:G21,"&gt;60")</t>
  </si>
  <si>
    <t xml:space="preserve">Math AND Science &gt;60</t>
  </si>
  <si>
    <t xml:space="preserve">'=COUNTIFS(Sheet1!E2:E21,"&gt;60",Sheet1!F2:F21,"&gt;60")</t>
  </si>
  <si>
    <t xml:space="preserve">COUNTIFS with two criteria (AND logic)</t>
  </si>
  <si>
    <t xml:space="preserve">Math &gt; 80</t>
  </si>
  <si>
    <t xml:space="preserve">'=COUNTIFS(Sheet1!E2:E21,"&gt;80")</t>
  </si>
  <si>
    <t xml:space="preserve">All 3 subjects &gt; 60</t>
  </si>
  <si>
    <t xml:space="preserve">'=COUNTIFS(Sheet1!E2:E21,"&gt;60",Sheet1!F2:F21,"&gt;60",Sheet1!G2:G21,"&gt;60")</t>
  </si>
  <si>
    <t xml:space="preserve">All three subjects above 60 simultaneously</t>
  </si>
  <si>
    <t xml:space="preserve">Avg score &gt; 60</t>
  </si>
  <si>
    <t xml:space="preserve">'=COUNTIFS(Sheet1!E2:E21,"&gt;50")</t>
  </si>
  <si>
    <t xml:space="preserve">IT Dept employees</t>
  </si>
  <si>
    <t xml:space="preserve">'=COUNTIFS(Sheet1!S2:S21,"IT")</t>
  </si>
  <si>
    <t xml:space="preserve">COUNTIFS on non-numeric data (department)</t>
  </si>
  <si>
    <t xml:space="preserve">TASK 3 — Use VLOOKUP to Find Product &amp; Amount from Sales Data</t>
  </si>
  <si>
    <t xml:space="preserve">Lookup: Sales ID</t>
  </si>
  <si>
    <t xml:space="preserve">VLOOKUP — Product</t>
  </si>
  <si>
    <t xml:space="preserve">VLOOKUP — Region</t>
  </si>
  <si>
    <t xml:space="preserve">VLOOKUP — Salesperson</t>
  </si>
  <si>
    <t xml:space="preserve">VLOOKUP — Amount</t>
  </si>
  <si>
    <t xml:space="preserve">'=VLOOKUP(2001,Sheet1!$J$2:$N$21,2,0)</t>
  </si>
  <si>
    <t xml:space="preserve">'=VLOOKUP(2001,Sheet1!$J$2:$N$21,3,0)</t>
  </si>
  <si>
    <t xml:space="preserve">'=VLOOKUP(2001,Sheet1!$J$2:$N$21,4,0)</t>
  </si>
  <si>
    <t xml:space="preserve">'=VLOOKUP(2001,Sheet1!$J$2:$N$21,5,0)</t>
  </si>
  <si>
    <t xml:space="preserve">VLOOKUP(ID, $J$2:$N$21, col, 0) — col 2=Prod,3=Region,4=Person,5=Amt</t>
  </si>
  <si>
    <t xml:space="preserve">'=VLOOKUP(2005,Sheet1!$J$2:$N$21,2,0)</t>
  </si>
  <si>
    <t xml:space="preserve">'=VLOOKUP(2005,Sheet1!$J$2:$N$21,3,0)</t>
  </si>
  <si>
    <t xml:space="preserve">'=VLOOKUP(2005,Sheet1!$J$2:$N$21,4,0)</t>
  </si>
  <si>
    <t xml:space="preserve">'=VLOOKUP(2005,Sheet1!$J$2:$N$21,5,0)</t>
  </si>
  <si>
    <t xml:space="preserve">'=VLOOKUP(2009,Sheet1!$J$2:$N$21,2,0)</t>
  </si>
  <si>
    <t xml:space="preserve">'=VLOOKUP(2009,Sheet1!$J$2:$N$21,3,0)</t>
  </si>
  <si>
    <t xml:space="preserve">'=VLOOKUP(2009,Sheet1!$J$2:$N$21,4,0)</t>
  </si>
  <si>
    <t xml:space="preserve">'=VLOOKUP(2009,Sheet1!$J$2:$N$21,5,0)</t>
  </si>
  <si>
    <t xml:space="preserve">'=VLOOKUP(2013,Sheet1!$J$2:$N$21,2,0)</t>
  </si>
  <si>
    <t xml:space="preserve">'=VLOOKUP(2013,Sheet1!$J$2:$N$21,3,0)</t>
  </si>
  <si>
    <t xml:space="preserve">'=VLOOKUP(2013,Sheet1!$J$2:$N$21,4,0)</t>
  </si>
  <si>
    <t xml:space="preserve">'=VLOOKUP(2013,Sheet1!$J$2:$N$21,5,0)</t>
  </si>
  <si>
    <t xml:space="preserve">'=VLOOKUP(2017,Sheet1!$J$2:$N$21,2,0)</t>
  </si>
  <si>
    <t xml:space="preserve">'=VLOOKUP(2017,Sheet1!$J$2:$N$21,3,0)</t>
  </si>
  <si>
    <t xml:space="preserve">'=VLOOKUP(2017,Sheet1!$J$2:$N$21,4,0)</t>
  </si>
  <si>
    <t xml:space="preserve">'=VLOOKUP(2017,Sheet1!$J$2:$N$21,5,0)</t>
  </si>
  <si>
    <t xml:space="preserve">'=VLOOKUP(2020,Sheet1!$J$2:$N$21,2,0)</t>
  </si>
  <si>
    <t xml:space="preserve">'=VLOOKUP(2020,Sheet1!$J$2:$N$21,3,0)</t>
  </si>
  <si>
    <t xml:space="preserve">'=VLOOKUP(2020,Sheet1!$J$2:$N$21,4,0)</t>
  </si>
  <si>
    <t xml:space="preserve">'=VLOOKUP(2020,Sheet1!$J$2:$N$21,5,0)</t>
  </si>
  <si>
    <t xml:space="preserve">TASK 4 — Apply XLOOKUP to Fetch Employee Salaries Dynamically  (via INDEX/MATCH for compatibility)</t>
  </si>
  <si>
    <t xml:space="preserve">Employee Name</t>
  </si>
  <si>
    <t xml:space="preserve">XLOOKUP Formula (Excel 365)</t>
  </si>
  <si>
    <t xml:space="preserve">Salary Result</t>
  </si>
  <si>
    <t xml:space="preserve">INDEX/MATCH Equiv.</t>
  </si>
  <si>
    <t xml:space="preserve">Salary (I/M)</t>
  </si>
  <si>
    <t xml:space="preserve">'=XLOOKUP("Employee 1",Sheet1!$R$2:$R$21,Sheet1!$T$2:$T$21)</t>
  </si>
  <si>
    <t xml:space="preserve">'=INDEX($T$2:$T$21,MATCH("Employee 1",$R$2:$R$21,0))</t>
  </si>
  <si>
    <t xml:space="preserve">XLOOKUP searches lookup_array &amp; returns result_array value — no col index needed</t>
  </si>
  <si>
    <t xml:space="preserve">'=XLOOKUP("Employee 3",Sheet1!$R$2:$R$21,Sheet1!$T$2:$T$21)</t>
  </si>
  <si>
    <t xml:space="preserve">'=INDEX($T$2:$T$21,MATCH("Employee 3",$R$2:$R$21,0))</t>
  </si>
  <si>
    <t xml:space="preserve">'=XLOOKUP("Employee 5",Sheet1!$R$2:$R$21,Sheet1!$T$2:$T$21)</t>
  </si>
  <si>
    <t xml:space="preserve">'=INDEX($T$2:$T$21,MATCH("Employee 5",$R$2:$R$21,0))</t>
  </si>
  <si>
    <t xml:space="preserve">'=XLOOKUP("Employee 7",Sheet1!$R$2:$R$21,Sheet1!$T$2:$T$21)</t>
  </si>
  <si>
    <t xml:space="preserve">'=INDEX($T$2:$T$21,MATCH("Employee 7",$R$2:$R$21,0))</t>
  </si>
  <si>
    <t xml:space="preserve">'=XLOOKUP("Employee 9",Sheet1!$R$2:$R$21,Sheet1!$T$2:$T$21)</t>
  </si>
  <si>
    <t xml:space="preserve">'=INDEX($T$2:$T$21,MATCH("Employee 9",$R$2:$R$21,0))</t>
  </si>
  <si>
    <t xml:space="preserve">'=XLOOKUP("Employee 11",Sheet1!$R$2:$R$21,Sheet1!$T$2:$T$21)</t>
  </si>
  <si>
    <t xml:space="preserve">'=INDEX($T$2:$T$21,MATCH("Employee 11",$R$2:$R$21,0))</t>
  </si>
  <si>
    <t xml:space="preserve">'=XLOOKUP("Employee 13",Sheet1!$R$2:$R$21,Sheet1!$T$2:$T$21)</t>
  </si>
  <si>
    <t xml:space="preserve">'=INDEX($T$2:$T$21,MATCH("Employee 13",$R$2:$R$21,0))</t>
  </si>
  <si>
    <t xml:space="preserve">'=XLOOKUP("Employee 15",Sheet1!$R$2:$R$21,Sheet1!$T$2:$T$21)</t>
  </si>
  <si>
    <t xml:space="preserve">'=INDEX($T$2:$T$21,MATCH("Employee 15",$R$2:$R$21,0))</t>
  </si>
  <si>
    <t xml:space="preserve">'=XLOOKUP("Employee 17",Sheet1!$R$2:$R$21,Sheet1!$T$2:$T$21)</t>
  </si>
  <si>
    <t xml:space="preserve">'=INDEX($T$2:$T$21,MATCH("Employee 17",$R$2:$R$21,0))</t>
  </si>
  <si>
    <t xml:space="preserve">'=XLOOKUP("Employee 19",Sheet1!$R$2:$R$21,Sheet1!$T$2:$T$21)</t>
  </si>
  <si>
    <t xml:space="preserve">'=INDEX($T$2:$T$21,MATCH("Employee 19",$R$2:$R$21,0))</t>
  </si>
  <si>
    <t xml:space="preserve">TASK 5 — Format and Analyze Date of Joining in Employee Data</t>
  </si>
  <si>
    <t xml:space="preserve">Employee</t>
  </si>
  <si>
    <t xml:space="preserve">Joining Date
(DD-MMM-YYYY)</t>
  </si>
  <si>
    <t xml:space="preserve">Year Joined</t>
  </si>
  <si>
    <t xml:space="preserve">Month Name</t>
  </si>
  <si>
    <t xml:space="preserve">Day of Week</t>
  </si>
  <si>
    <t xml:space="preserve">Months Served</t>
  </si>
  <si>
    <t xml:space="preserve">Days Served</t>
  </si>
  <si>
    <t xml:space="preserve">Quarter Joined</t>
  </si>
  <si>
    <t xml:space="preserve">Status</t>
  </si>
  <si>
    <t xml:space="preserve">TASK 6 — Use FILTER Function to Extract Students with Grades Above 80 (Math)</t>
  </si>
  <si>
    <t xml:space="preserve">🎓 Students: Math Score &gt; 80</t>
  </si>
  <si>
    <t xml:space="preserve">💰 Sales: Amount &gt; 30,000</t>
  </si>
  <si>
    <t xml:space="preserve">Formula: =FILTER(Sheet1!C2:G21, Sheet1!E2:E21&gt;80)</t>
  </si>
  <si>
    <t xml:space="preserve">Formula: =FILTER(Sheet1!J2:N21, Sheet1!N2:N21&gt;30000)</t>
  </si>
  <si>
    <t xml:space="preserve">Total students (Math &gt; 80):</t>
  </si>
  <si>
    <t xml:space="preserve">Total sales (Amount &gt; 30,000):</t>
  </si>
  <si>
    <t xml:space="preserve">Avg Math score (filtered group):</t>
  </si>
  <si>
    <t xml:space="preserve">Total Sales Amount (&gt;30k):</t>
  </si>
  <si>
    <t xml:space="preserve">PR.1 Fundamental Booster – All Task Solutions</t>
  </si>
  <si>
    <t xml:space="preserve">1. IF Formulas – Grade Classification (&gt;= 90 A, &gt;= 75 B, &gt;= 60 C, else F)</t>
  </si>
  <si>
    <t xml:space="preserve">2. IF with AND – Students scoring &gt; 80 in BOTH Math AND Science</t>
  </si>
  <si>
    <t xml:space="preserve">Both &gt; 80?</t>
  </si>
  <si>
    <t xml:space="preserve">3. IF with OR – Discount Eligibility (Amount &gt; 40000 OR Product = Laptop)</t>
  </si>
  <si>
    <t xml:space="preserve">4. COUNTIFS / SUMIFS / AVERAGEIFS</t>
  </si>
  <si>
    <t xml:space="preserve">Task</t>
  </si>
  <si>
    <t xml:space="preserve">Formula Used</t>
  </si>
  <si>
    <t xml:space="preserve">Students scoring &gt; 50 in Math</t>
  </si>
  <si>
    <t xml:space="preserve">COUNTIFS with single criterion on Math column</t>
  </si>
  <si>
    <t xml:space="preserve">Students scoring &gt; 60 in Math (avg score)</t>
  </si>
  <si>
    <t xml:space="preserve">AVERAGEIFS: average Math scores where Math &gt; 60</t>
  </si>
  <si>
    <t xml:space="preserve">Total Sales – East region, Keyboard</t>
  </si>
  <si>
    <t xml:space="preserve">SUMIFS: sum amounts where Region=East AND Product=Keyboard</t>
  </si>
  <si>
    <t xml:space="preserve">5. VLOOKUP – Fetch Student Name by ID &amp; Fetch Product Amount by Sales ID</t>
  </si>
  <si>
    <t xml:space="preserve">Lookup Value</t>
  </si>
  <si>
    <t xml:space="preserve">6. XLOOKUP – Employee Salary &amp; Salesperson Amount (flexible, no sort required)</t>
  </si>
  <si>
    <t xml:space="preserve">7. XMATCH – Find Position of Product in Sales List</t>
  </si>
  <si>
    <t xml:space="preserve">Search Value</t>
  </si>
  <si>
    <t xml:space="preserve">Position</t>
  </si>
  <si>
    <t xml:space="preserve">8. INDEX / MATCH – Dynamic Employee &amp; Sales Lookups</t>
  </si>
  <si>
    <t xml:space="preserve">9. TEXT Functions – LEFT/FIND, UPPER, LOWER, LEN, PROPER on Employee Names</t>
  </si>
  <si>
    <t xml:space="preserve">First Word (LEFT/FIND)</t>
  </si>
  <si>
    <t xml:space="preserve">UPPER</t>
  </si>
  <si>
    <t xml:space="preserve">LOWER</t>
  </si>
  <si>
    <t xml:space="preserve">Length (LEN)</t>
  </si>
  <si>
    <t xml:space="preserve">PROPER</t>
  </si>
  <si>
    <t xml:space="preserve">10. INDIRECT – Dynamically Reference Cell Ranges</t>
  </si>
  <si>
    <t xml:space="preserve">Cell Reference (text)</t>
  </si>
  <si>
    <t xml:space="preserve">Sheet1!E2</t>
  </si>
  <si>
    <t xml:space="preserve">Sheet1!N5</t>
  </si>
  <si>
    <t xml:space="preserve">Sheet1!T10</t>
  </si>
  <si>
    <t xml:space="preserve">SUM range</t>
  </si>
  <si>
    <t xml:space="preserve">AVG range</t>
  </si>
  <si>
    <t xml:space="preserve">11. OFFSET – Dynamic Ranges for Sales Trends</t>
  </si>
  <si>
    <t xml:space="preserve">Value 3 rows below N2</t>
  </si>
  <si>
    <t xml:space="preserve">Sum first 5 sales</t>
  </si>
  <si>
    <t xml:space="preserve">Sum last 5 sales</t>
  </si>
  <si>
    <t xml:space="preserve">Avg first 10 Math scores</t>
  </si>
  <si>
    <t xml:space="preserve">12. Date &amp; Time Functions – Age, Years of Service, Days Between Dates</t>
  </si>
  <si>
    <t xml:space="preserve">Days Since Joining</t>
  </si>
  <si>
    <t xml:space="preserve">Year of Joining</t>
  </si>
  <si>
    <t xml:space="preserve">Days between first and last student enrollment date:</t>
  </si>
  <si>
    <t xml:space="preserve">Formula: =Sheet1!H21 - Sheet1!H2</t>
  </si>
  <si>
    <t xml:space="preserve">13. Math Functions – ROUND, CEILING, FLOOR on Sales Amounts</t>
  </si>
  <si>
    <t xml:space="preserve">Original Amount</t>
  </si>
  <si>
    <t xml:space="preserve">ROUND (100s)</t>
  </si>
  <si>
    <t xml:space="preserve">CEILING (500s)</t>
  </si>
  <si>
    <t xml:space="preserve">FLOOR (500s)</t>
  </si>
  <si>
    <t xml:space="preserve">ROUND (2 dec)</t>
  </si>
  <si>
    <t xml:space="preserve">14. FILTER Function – Top Students (Math &gt; 80) | High-Value Sales (Amount &gt; 30,000)</t>
  </si>
  <si>
    <t xml:space="preserve">🎓 Students with Math &gt; 80</t>
  </si>
  <si>
    <t xml:space="preserve">💰 Sales Amount &gt; 30,000</t>
  </si>
  <si>
    <t xml:space="preserve">Math Score</t>
  </si>
  <si>
    <t xml:space="preserve">Excel 365 formulas used:  =FILTER(Sheet1!C2:E21, Sheet1!E2:E21&gt;80)  |  =FILTER(Sheet1!J2:N21, Sheet1!N2:N21&gt;30000)  — Results above are pre-filtered via cell references for full compatibility.</t>
  </si>
</sst>
</file>

<file path=xl/styles.xml><?xml version="1.0" encoding="utf-8"?>
<styleSheet xmlns="http://schemas.openxmlformats.org/spreadsheetml/2006/main">
  <numFmts count="11">
    <numFmt numFmtId="164" formatCode="General"/>
    <numFmt numFmtId="165" formatCode="m/d/yyyy\ h:mm"/>
    <numFmt numFmtId="166" formatCode="#,##0"/>
    <numFmt numFmtId="167" formatCode="#,##0.00"/>
    <numFmt numFmtId="168" formatCode="General"/>
    <numFmt numFmtId="169" formatCode="dd\-mmm\-yyyy"/>
    <numFmt numFmtId="170" formatCode="0.0"/>
    <numFmt numFmtId="171" formatCode="0.00"/>
    <numFmt numFmtId="172" formatCode="0"/>
    <numFmt numFmtId="173" formatCode="0&quot; days&quot;"/>
    <numFmt numFmtId="174" formatCode="@"/>
  </numFmts>
  <fonts count="23">
    <font>
      <sz val="11"/>
      <color theme="1"/>
      <name val="Aptos Narrow"/>
      <family val="2"/>
      <charset val="1"/>
    </font>
    <font>
      <sz val="10"/>
      <name val="Arial"/>
      <family val="0"/>
    </font>
    <font>
      <sz val="10"/>
      <name val="Arial"/>
      <family val="0"/>
    </font>
    <font>
      <sz val="10"/>
      <name val="Arial"/>
      <family val="0"/>
    </font>
    <font>
      <b val="true"/>
      <sz val="11"/>
      <color theme="1"/>
      <name val="Calibri"/>
      <family val="2"/>
      <charset val="1"/>
    </font>
    <font>
      <b val="true"/>
      <sz val="10"/>
      <color rgb="FFFFFFFF"/>
      <name val="Arial"/>
      <family val="2"/>
      <charset val="1"/>
    </font>
    <font>
      <sz val="11"/>
      <color theme="1"/>
      <name val="Calibri"/>
      <family val="2"/>
      <charset val="1"/>
    </font>
    <font>
      <sz val="10"/>
      <color rgb="FF000000"/>
      <name val="Arial"/>
      <family val="2"/>
      <charset val="1"/>
    </font>
    <font>
      <b val="true"/>
      <sz val="11"/>
      <color rgb="FFFFFFFF"/>
      <name val="Arial"/>
      <family val="2"/>
      <charset val="1"/>
    </font>
    <font>
      <sz val="10"/>
      <name val="Arial"/>
      <family val="2"/>
      <charset val="1"/>
    </font>
    <font>
      <b val="true"/>
      <sz val="14"/>
      <color rgb="FFFFFFFF"/>
      <name val="Arial"/>
      <family val="0"/>
      <charset val="1"/>
    </font>
    <font>
      <i val="true"/>
      <sz val="10"/>
      <color rgb="FF444444"/>
      <name val="Arial"/>
      <family val="0"/>
      <charset val="1"/>
    </font>
    <font>
      <b val="true"/>
      <sz val="11"/>
      <color rgb="FFFFFFFF"/>
      <name val="Arial"/>
      <family val="0"/>
      <charset val="1"/>
    </font>
    <font>
      <b val="true"/>
      <sz val="10"/>
      <color rgb="FFFFFFFF"/>
      <name val="Arial"/>
      <family val="0"/>
      <charset val="1"/>
    </font>
    <font>
      <sz val="10"/>
      <color rgb="FF000080"/>
      <name val="Arial"/>
      <family val="0"/>
      <charset val="1"/>
    </font>
    <font>
      <b val="true"/>
      <sz val="10"/>
      <name val="Arial"/>
      <family val="0"/>
      <charset val="1"/>
    </font>
    <font>
      <sz val="10"/>
      <name val="Arial"/>
      <family val="0"/>
      <charset val="1"/>
    </font>
    <font>
      <b val="true"/>
      <sz val="10"/>
      <color rgb="FF1F4E79"/>
      <name val="Arial"/>
      <family val="0"/>
      <charset val="1"/>
    </font>
    <font>
      <i val="true"/>
      <sz val="9"/>
      <color rgb="FF0070C0"/>
      <name val="Arial"/>
      <family val="0"/>
      <charset val="1"/>
    </font>
    <font>
      <b val="true"/>
      <sz val="14"/>
      <color rgb="FFFFFFFF"/>
      <name val="Arial"/>
      <family val="2"/>
      <charset val="1"/>
    </font>
    <font>
      <b val="true"/>
      <sz val="10"/>
      <color rgb="FFFF0000"/>
      <name val="Arial"/>
      <family val="2"/>
      <charset val="1"/>
    </font>
    <font>
      <b val="true"/>
      <sz val="10"/>
      <name val="Arial"/>
      <family val="2"/>
      <charset val="1"/>
    </font>
    <font>
      <i val="true"/>
      <sz val="9"/>
      <color rgb="FF666666"/>
      <name val="Arial"/>
      <family val="0"/>
      <charset val="1"/>
    </font>
  </fonts>
  <fills count="12">
    <fill>
      <patternFill patternType="none"/>
    </fill>
    <fill>
      <patternFill patternType="gray125"/>
    </fill>
    <fill>
      <patternFill patternType="solid">
        <fgColor rgb="FFFFF2CC"/>
        <bgColor rgb="FFF1F8E9"/>
      </patternFill>
    </fill>
    <fill>
      <patternFill patternType="solid">
        <fgColor rgb="FF1F4E79"/>
        <bgColor rgb="FF1A3552"/>
      </patternFill>
    </fill>
    <fill>
      <patternFill patternType="solid">
        <fgColor rgb="FFEBF5FB"/>
        <bgColor rgb="FFE8F5E9"/>
      </patternFill>
    </fill>
    <fill>
      <patternFill patternType="solid">
        <fgColor rgb="FF1A3552"/>
        <bgColor rgb="FF1F4E79"/>
      </patternFill>
    </fill>
    <fill>
      <patternFill patternType="solid">
        <fgColor rgb="FFD6E4F0"/>
        <bgColor rgb="FFD9EAD3"/>
      </patternFill>
    </fill>
    <fill>
      <patternFill patternType="solid">
        <fgColor rgb="FF2E75B6"/>
        <bgColor rgb="FF0070C0"/>
      </patternFill>
    </fill>
    <fill>
      <patternFill patternType="solid">
        <fgColor rgb="FFD9EAD3"/>
        <bgColor rgb="FFD6E4F0"/>
      </patternFill>
    </fill>
    <fill>
      <patternFill patternType="solid">
        <fgColor rgb="FFFFFFFF"/>
        <bgColor rgb="FFF1F8E9"/>
      </patternFill>
    </fill>
    <fill>
      <patternFill patternType="solid">
        <fgColor rgb="FFE8F5E9"/>
        <bgColor rgb="FFF1F8E9"/>
      </patternFill>
    </fill>
    <fill>
      <patternFill patternType="solid">
        <fgColor rgb="FFF1F8E9"/>
        <bgColor rgb="FFE8F5E9"/>
      </patternFill>
    </fill>
  </fills>
  <borders count="11">
    <border diagonalUp="false" diagonalDown="false">
      <left/>
      <right/>
      <top/>
      <bottom/>
      <diagonal/>
    </border>
    <border diagonalUp="false" diagonalDown="false">
      <left style="medium"/>
      <right style="medium"/>
      <top style="medium"/>
      <bottom style="medium"/>
      <diagonal/>
    </border>
    <border diagonalUp="false" diagonalDown="false">
      <left style="medium">
        <color rgb="FFCCCCCC"/>
      </left>
      <right style="medium"/>
      <top style="medium"/>
      <bottom style="mediu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medium"/>
      <right style="medium"/>
      <top style="medium">
        <color rgb="FFCCCCCC"/>
      </top>
      <bottom style="medium"/>
      <diagonal/>
    </border>
    <border diagonalUp="false" diagonalDown="false">
      <left style="medium">
        <color rgb="FFCCCCCC"/>
      </left>
      <right style="medium"/>
      <top style="medium">
        <color rgb="FFCCCCCC"/>
      </top>
      <bottom style="mediu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medium">
        <color rgb="FFCCCCCC"/>
      </left>
      <right style="medium">
        <color rgb="FFCCCCCC"/>
      </right>
      <top style="medium">
        <color rgb="FFCCCCCC"/>
      </top>
      <bottom style="medium"/>
      <diagonal/>
    </border>
    <border diagonalUp="false" diagonalDown="false">
      <left style="thin">
        <color rgb="FFBBBBBB"/>
      </left>
      <right/>
      <top style="thin">
        <color rgb="FFBBBBBB"/>
      </top>
      <bottom style="thin">
        <color rgb="FFBBBBBB"/>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5" fillId="3" borderId="3" xfId="0" applyFont="tru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true" applyProtection="false">
      <alignment horizontal="general"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5" fontId="6" fillId="0" borderId="5" xfId="0" applyFont="true" applyBorder="true" applyAlignment="true" applyProtection="false">
      <alignment horizontal="center" vertical="center" textRotation="0" wrapText="true" indent="0" shrinkToFit="false"/>
      <protection locked="true" hidden="false"/>
    </xf>
    <xf numFmtId="164" fontId="7" fillId="4" borderId="3" xfId="0" applyFont="true" applyBorder="true" applyAlignment="true" applyProtection="false">
      <alignment horizontal="center" vertical="bottom" textRotation="0" wrapText="false" indent="0" shrinkToFit="false"/>
      <protection locked="true" hidden="false"/>
    </xf>
    <xf numFmtId="164" fontId="6" fillId="0" borderId="6" xfId="0" applyFont="true" applyBorder="true" applyAlignment="true" applyProtection="false">
      <alignment horizontal="general" vertical="center" textRotation="0" wrapText="true" indent="0" shrinkToFit="false"/>
      <protection locked="true" hidden="false"/>
    </xf>
    <xf numFmtId="164" fontId="6" fillId="0" borderId="7" xfId="0" applyFont="true" applyBorder="true" applyAlignment="true" applyProtection="false">
      <alignment horizontal="general" vertical="center" textRotation="0" wrapText="true" indent="0" shrinkToFit="false"/>
      <protection locked="true" hidden="false"/>
    </xf>
    <xf numFmtId="164" fontId="4" fillId="2" borderId="4"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general" vertical="center" textRotation="0" wrapText="true" indent="0" shrinkToFit="false"/>
      <protection locked="true" hidden="false"/>
    </xf>
    <xf numFmtId="164" fontId="8" fillId="3" borderId="0" xfId="0" applyFont="true" applyBorder="true" applyAlignment="true" applyProtection="false">
      <alignment horizontal="left" vertical="bottom" textRotation="0" wrapText="false" indent="1"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6" fontId="7" fillId="4" borderId="3" xfId="0" applyFont="true" applyBorder="true" applyAlignment="true" applyProtection="false">
      <alignment horizontal="center" vertical="bottom" textRotation="0" wrapText="false" indent="0" shrinkToFit="false"/>
      <protection locked="true" hidden="false"/>
    </xf>
    <xf numFmtId="167" fontId="7" fillId="4" borderId="3"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true" applyAlignment="true" applyProtection="false">
      <alignment horizontal="center" vertical="center" textRotation="0" wrapText="false" indent="0" shrinkToFit="false"/>
      <protection locked="true" hidden="false"/>
    </xf>
    <xf numFmtId="164" fontId="11" fillId="6" borderId="0" xfId="0" applyFont="true" applyBorder="true" applyAlignment="true" applyProtection="false">
      <alignment horizontal="center" vertical="center" textRotation="0" wrapText="false" indent="0" shrinkToFit="false"/>
      <protection locked="true" hidden="false"/>
    </xf>
    <xf numFmtId="164" fontId="12" fillId="7" borderId="8" xfId="0" applyFont="true" applyBorder="true" applyAlignment="true" applyProtection="false">
      <alignment horizontal="left" vertical="center" textRotation="0" wrapText="false" indent="1" shrinkToFit="false"/>
      <protection locked="true" hidden="false"/>
    </xf>
    <xf numFmtId="164" fontId="13" fillId="3" borderId="9" xfId="0" applyFont="true" applyBorder="true" applyAlignment="true" applyProtection="false">
      <alignment horizontal="center" vertical="center" textRotation="0" wrapText="true" indent="0" shrinkToFit="false"/>
      <protection locked="true" hidden="false"/>
    </xf>
    <xf numFmtId="168" fontId="14" fillId="4" borderId="9" xfId="0" applyFont="true" applyBorder="true" applyAlignment="true" applyProtection="false">
      <alignment horizontal="center" vertical="center" textRotation="0" wrapText="false" indent="0" shrinkToFit="false"/>
      <protection locked="true" hidden="false"/>
    </xf>
    <xf numFmtId="164" fontId="14" fillId="8" borderId="9" xfId="0" applyFont="true" applyBorder="true" applyAlignment="true" applyProtection="false">
      <alignment horizontal="center" vertical="center" textRotation="0" wrapText="false" indent="0" shrinkToFit="false"/>
      <protection locked="true" hidden="false"/>
    </xf>
    <xf numFmtId="168" fontId="14" fillId="9" borderId="9" xfId="0" applyFont="true" applyBorder="true" applyAlignment="true" applyProtection="false">
      <alignment horizontal="center" vertical="center" textRotation="0" wrapText="false" indent="0" shrinkToFit="false"/>
      <protection locked="true" hidden="false"/>
    </xf>
    <xf numFmtId="164" fontId="13" fillId="3" borderId="8" xfId="0" applyFont="true" applyBorder="true" applyAlignment="true" applyProtection="false">
      <alignment horizontal="center" vertical="center" textRotation="0" wrapText="false" indent="0" shrinkToFit="false"/>
      <protection locked="true" hidden="false"/>
    </xf>
    <xf numFmtId="164" fontId="15" fillId="4" borderId="9" xfId="0" applyFont="true" applyBorder="true" applyAlignment="true" applyProtection="false">
      <alignment horizontal="center" vertical="center" textRotation="0" wrapText="true" indent="0" shrinkToFit="false"/>
      <protection locked="true" hidden="false"/>
    </xf>
    <xf numFmtId="164" fontId="16" fillId="4" borderId="8" xfId="0" applyFont="true" applyBorder="true" applyAlignment="true" applyProtection="false">
      <alignment horizontal="left" vertical="center" textRotation="0" wrapText="true" indent="0" shrinkToFit="false"/>
      <protection locked="true" hidden="false"/>
    </xf>
    <xf numFmtId="164" fontId="15" fillId="9" borderId="9" xfId="0" applyFont="true" applyBorder="true" applyAlignment="true" applyProtection="false">
      <alignment horizontal="center" vertical="center" textRotation="0" wrapText="true" indent="0" shrinkToFit="false"/>
      <protection locked="true" hidden="false"/>
    </xf>
    <xf numFmtId="164" fontId="16" fillId="9" borderId="8" xfId="0" applyFont="true" applyBorder="true" applyAlignment="true" applyProtection="false">
      <alignment horizontal="left" vertical="center" textRotation="0" wrapText="true" indent="0" shrinkToFit="false"/>
      <protection locked="true" hidden="false"/>
    </xf>
    <xf numFmtId="166" fontId="14" fillId="8" borderId="9" xfId="0" applyFont="true" applyBorder="true" applyAlignment="true" applyProtection="false">
      <alignment horizontal="center" vertical="center" textRotation="0" wrapText="false" indent="0" shrinkToFit="false"/>
      <protection locked="true" hidden="false"/>
    </xf>
    <xf numFmtId="164" fontId="16" fillId="4" borderId="9" xfId="0" applyFont="true" applyBorder="true" applyAlignment="true" applyProtection="false">
      <alignment horizontal="left" vertical="center" textRotation="0" wrapText="true" indent="0" shrinkToFit="false"/>
      <protection locked="true" hidden="false"/>
    </xf>
    <xf numFmtId="164" fontId="16" fillId="9" borderId="9" xfId="0" applyFont="true" applyBorder="true" applyAlignment="true" applyProtection="false">
      <alignment horizontal="left" vertical="center" textRotation="0" wrapText="true" indent="0" shrinkToFit="false"/>
      <protection locked="true" hidden="false"/>
    </xf>
    <xf numFmtId="164" fontId="13" fillId="3" borderId="8" xfId="0" applyFont="true" applyBorder="true" applyAlignment="true" applyProtection="false">
      <alignment horizontal="center" vertical="bottom" textRotation="0" wrapText="false" indent="0" shrinkToFit="false"/>
      <protection locked="true" hidden="false"/>
    </xf>
    <xf numFmtId="169" fontId="14" fillId="4" borderId="9" xfId="0" applyFont="true" applyBorder="true" applyAlignment="true" applyProtection="false">
      <alignment horizontal="center" vertical="center" textRotation="0" wrapText="false" indent="0" shrinkToFit="false"/>
      <protection locked="true" hidden="false"/>
    </xf>
    <xf numFmtId="169" fontId="14" fillId="9" borderId="9" xfId="0" applyFont="true" applyBorder="true" applyAlignment="true" applyProtection="false">
      <alignment horizontal="center" vertical="center" textRotation="0" wrapText="false" indent="0" shrinkToFit="false"/>
      <protection locked="true" hidden="false"/>
    </xf>
    <xf numFmtId="164" fontId="17" fillId="6" borderId="8" xfId="0" applyFont="true" applyBorder="true" applyAlignment="true" applyProtection="false">
      <alignment horizontal="center" vertical="center" textRotation="0" wrapText="false" indent="0" shrinkToFit="false"/>
      <protection locked="true" hidden="false"/>
    </xf>
    <xf numFmtId="164" fontId="17" fillId="8" borderId="8" xfId="0" applyFont="true" applyBorder="true" applyAlignment="true" applyProtection="false">
      <alignment horizontal="center" vertical="center" textRotation="0" wrapText="false" indent="0" shrinkToFit="false"/>
      <protection locked="true" hidden="false"/>
    </xf>
    <xf numFmtId="164" fontId="18" fillId="2" borderId="8" xfId="0" applyFont="true" applyBorder="true" applyAlignment="true" applyProtection="false">
      <alignment horizontal="center" vertical="center" textRotation="0" wrapText="false" indent="0" shrinkToFit="false"/>
      <protection locked="true" hidden="false"/>
    </xf>
    <xf numFmtId="168" fontId="14" fillId="10" borderId="9" xfId="0" applyFont="true" applyBorder="true" applyAlignment="true" applyProtection="false">
      <alignment horizontal="center" vertical="center" textRotation="0" wrapText="false" indent="0" shrinkToFit="false"/>
      <protection locked="true" hidden="false"/>
    </xf>
    <xf numFmtId="166" fontId="14" fillId="10" borderId="9" xfId="0" applyFont="true" applyBorder="true" applyAlignment="true" applyProtection="false">
      <alignment horizontal="center" vertical="center" textRotation="0" wrapText="false" indent="0" shrinkToFit="false"/>
      <protection locked="true" hidden="false"/>
    </xf>
    <xf numFmtId="168" fontId="14" fillId="11" borderId="9" xfId="0" applyFont="true" applyBorder="true" applyAlignment="true" applyProtection="false">
      <alignment horizontal="center" vertical="center" textRotation="0" wrapText="false" indent="0" shrinkToFit="false"/>
      <protection locked="true" hidden="false"/>
    </xf>
    <xf numFmtId="166" fontId="14" fillId="11" borderId="9" xfId="0" applyFont="true" applyBorder="true" applyAlignment="true" applyProtection="false">
      <alignment horizontal="center" vertical="center" textRotation="0" wrapText="false" indent="0" shrinkToFit="false"/>
      <protection locked="true" hidden="false"/>
    </xf>
    <xf numFmtId="164" fontId="15" fillId="2" borderId="8" xfId="0" applyFont="true" applyBorder="true" applyAlignment="true" applyProtection="false">
      <alignment horizontal="left" vertical="center" textRotation="0" wrapText="true" indent="0" shrinkToFit="false"/>
      <protection locked="true" hidden="false"/>
    </xf>
    <xf numFmtId="170" fontId="14" fillId="8" borderId="9" xfId="0" applyFont="true" applyBorder="true" applyAlignment="true" applyProtection="false">
      <alignment horizontal="center" vertical="center" textRotation="0" wrapText="false" indent="0" shrinkToFit="false"/>
      <protection locked="true" hidden="false"/>
    </xf>
    <xf numFmtId="164" fontId="19" fillId="5" borderId="0" xfId="0" applyFont="true" applyBorder="true" applyAlignment="true" applyProtection="false">
      <alignment horizontal="center" vertical="center" textRotation="0" wrapText="false" indent="0" shrinkToFit="false"/>
      <protection locked="true" hidden="false"/>
    </xf>
    <xf numFmtId="164" fontId="8" fillId="7" borderId="0" xfId="0" applyFont="true" applyBorder="true" applyAlignment="true" applyProtection="false">
      <alignment horizontal="left" vertical="center" textRotation="0" wrapText="false" indent="1" shrinkToFit="false"/>
      <protection locked="true" hidden="false"/>
    </xf>
    <xf numFmtId="164" fontId="5" fillId="3" borderId="3" xfId="0" applyFont="true" applyBorder="true" applyAlignment="true" applyProtection="false">
      <alignment horizontal="center" vertical="center" textRotation="0" wrapText="true" indent="0" shrinkToFit="false"/>
      <protection locked="true" hidden="false"/>
    </xf>
    <xf numFmtId="168" fontId="9" fillId="0" borderId="3" xfId="0" applyFont="true" applyBorder="true" applyAlignment="true" applyProtection="false">
      <alignment horizontal="center" vertical="center" textRotation="0" wrapText="false" indent="0" shrinkToFit="false"/>
      <protection locked="true" hidden="false"/>
    </xf>
    <xf numFmtId="164" fontId="9" fillId="4" borderId="3"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bottom" textRotation="0" wrapText="false" indent="0" shrinkToFit="false"/>
      <protection locked="true" hidden="false"/>
    </xf>
    <xf numFmtId="164" fontId="9" fillId="0" borderId="3" xfId="0" applyFont="true" applyBorder="true" applyAlignment="true" applyProtection="false">
      <alignment horizontal="general" vertical="center" textRotation="0" wrapText="true" indent="0" shrinkToFit="false"/>
      <protection locked="true" hidden="false"/>
    </xf>
    <xf numFmtId="168" fontId="7" fillId="4" borderId="3" xfId="0" applyFont="true" applyBorder="true" applyAlignment="true" applyProtection="false">
      <alignment horizontal="center" vertical="center" textRotation="0" wrapText="false" indent="0" shrinkToFit="false"/>
      <protection locked="true" hidden="false"/>
    </xf>
    <xf numFmtId="164" fontId="9" fillId="0" borderId="10" xfId="0" applyFont="true" applyBorder="true" applyAlignment="true" applyProtection="false">
      <alignment horizontal="general" vertical="center" textRotation="0" wrapText="true" indent="0" shrinkToFit="false"/>
      <protection locked="true" hidden="false"/>
    </xf>
    <xf numFmtId="171" fontId="7" fillId="4" borderId="3" xfId="0" applyFont="true" applyBorder="true" applyAlignment="true" applyProtection="false">
      <alignment horizontal="center" vertical="center" textRotation="0" wrapText="false" indent="0" shrinkToFit="false"/>
      <protection locked="true" hidden="false"/>
    </xf>
    <xf numFmtId="166" fontId="7" fillId="4" borderId="3" xfId="0" applyFont="true" applyBorder="true" applyAlignment="true" applyProtection="false">
      <alignment horizontal="center" vertical="center" textRotation="0" wrapText="false" indent="0" shrinkToFit="false"/>
      <protection locked="true" hidden="false"/>
    </xf>
    <xf numFmtId="164" fontId="20" fillId="0" borderId="3"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9" fillId="0" borderId="3" xfId="0" applyFont="true" applyBorder="true" applyAlignment="true" applyProtection="false">
      <alignment horizontal="center" vertical="center" textRotation="0" wrapText="true" indent="0" shrinkToFit="false"/>
      <protection locked="true" hidden="false"/>
    </xf>
    <xf numFmtId="164" fontId="9" fillId="4" borderId="3" xfId="0" applyFont="true" applyBorder="true" applyAlignment="true" applyProtection="false">
      <alignment horizontal="center" vertical="center" textRotation="0" wrapText="true" indent="0" shrinkToFit="false"/>
      <protection locked="true" hidden="false"/>
    </xf>
    <xf numFmtId="164" fontId="5" fillId="0" borderId="3" xfId="0" applyFont="true" applyBorder="true" applyAlignment="true" applyProtection="false">
      <alignment horizontal="left" vertical="bottom" textRotation="0" wrapText="false" indent="1"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9" fontId="9" fillId="0" borderId="3" xfId="0" applyFont="true" applyBorder="true" applyAlignment="true" applyProtection="false">
      <alignment horizontal="center" vertical="center" textRotation="0" wrapText="false" indent="0" shrinkToFit="false"/>
      <protection locked="true" hidden="false"/>
    </xf>
    <xf numFmtId="172" fontId="9" fillId="4" borderId="3" xfId="0" applyFont="true" applyBorder="true" applyAlignment="true" applyProtection="false">
      <alignment horizontal="center" vertical="center" textRotation="0" wrapText="false" indent="0" shrinkToFit="false"/>
      <protection locked="true" hidden="false"/>
    </xf>
    <xf numFmtId="164" fontId="21" fillId="0" borderId="10"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73" fontId="9" fillId="4" borderId="3" xfId="0" applyFont="true" applyBorder="true" applyAlignment="true" applyProtection="false">
      <alignment horizontal="center" vertical="bottom" textRotation="0" wrapText="false" indent="0" shrinkToFit="false"/>
      <protection locked="true" hidden="false"/>
    </xf>
    <xf numFmtId="166" fontId="9" fillId="0" borderId="3" xfId="0" applyFont="true" applyBorder="true" applyAlignment="true" applyProtection="false">
      <alignment horizontal="center" vertical="center" textRotation="0" wrapText="false" indent="0" shrinkToFit="false"/>
      <protection locked="true" hidden="false"/>
    </xf>
    <xf numFmtId="166" fontId="9" fillId="4" borderId="3" xfId="0" applyFont="true" applyBorder="true" applyAlignment="true" applyProtection="false">
      <alignment horizontal="center" vertical="center" textRotation="0" wrapText="false" indent="0" shrinkToFit="false"/>
      <protection locked="true" hidden="false"/>
    </xf>
    <xf numFmtId="167" fontId="9" fillId="4" borderId="3" xfId="0" applyFont="true" applyBorder="true" applyAlignment="true" applyProtection="false">
      <alignment horizontal="center" vertical="center" textRotation="0" wrapText="false" indent="0" shrinkToFit="false"/>
      <protection locked="true" hidden="false"/>
    </xf>
    <xf numFmtId="174" fontId="14" fillId="4" borderId="9" xfId="0" applyFont="true" applyBorder="true" applyAlignment="true" applyProtection="false">
      <alignment horizontal="center" vertical="center" textRotation="0" wrapText="false" indent="0" shrinkToFit="false"/>
      <protection locked="true" hidden="false"/>
    </xf>
    <xf numFmtId="164" fontId="22" fillId="2" borderId="8" xfId="0" applyFont="true" applyBorder="tru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E8F5E9"/>
      <rgbColor rgb="FF660066"/>
      <rgbColor rgb="FFFF8080"/>
      <rgbColor rgb="FF0070C0"/>
      <rgbColor rgb="FFCCCCCC"/>
      <rgbColor rgb="FF000080"/>
      <rgbColor rgb="FFFF00FF"/>
      <rgbColor rgb="FFFFFF00"/>
      <rgbColor rgb="FF00FFFF"/>
      <rgbColor rgb="FF800080"/>
      <rgbColor rgb="FF800000"/>
      <rgbColor rgb="FF008080"/>
      <rgbColor rgb="FF0000FF"/>
      <rgbColor rgb="FF00CCFF"/>
      <rgbColor rgb="FFEBF5FB"/>
      <rgbColor rgb="FFD9EAD3"/>
      <rgbColor rgb="FFF1F8E9"/>
      <rgbColor rgb="FFD6E4F0"/>
      <rgbColor rgb="FFFF99CC"/>
      <rgbColor rgb="FFCC99FF"/>
      <rgbColor rgb="FFFFCC99"/>
      <rgbColor rgb="FF2E75B6"/>
      <rgbColor rgb="FF33CCCC"/>
      <rgbColor rgb="FF99CC00"/>
      <rgbColor rgb="FFFFCC00"/>
      <rgbColor rgb="FFFF9900"/>
      <rgbColor rgb="FFFF6600"/>
      <rgbColor rgb="FF666666"/>
      <rgbColor rgb="FFAAAAAA"/>
      <rgbColor rgb="FF1A3552"/>
      <rgbColor rgb="FF339966"/>
      <rgbColor rgb="FF003300"/>
      <rgbColor rgb="FF333300"/>
      <rgbColor rgb="FF993300"/>
      <rgbColor rgb="FF993366"/>
      <rgbColor rgb="FF1F4E7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3"/>
  <sheetViews>
    <sheetView showFormulas="false" showGridLines="true" showRowColHeaders="true" showZeros="true" rightToLeft="false" tabSelected="false" showOutlineSymbols="true" defaultGridColor="true" view="normal" topLeftCell="A36" colorId="64" zoomScale="78" zoomScaleNormal="78" zoomScalePageLayoutView="100" workbookViewId="0">
      <selection pane="topLeft" activeCell="A21" activeCellId="0" sqref="A21"/>
    </sheetView>
  </sheetViews>
  <sheetFormatPr defaultColWidth="8.55859375" defaultRowHeight="14.25" zeroHeight="false" outlineLevelRow="0" outlineLevelCol="0"/>
  <cols>
    <col collapsed="false" customWidth="true" hidden="false" outlineLevel="0" max="1" min="1" style="0" width="67.66"/>
    <col collapsed="false" customWidth="true" hidden="false" outlineLevel="0" max="3" min="3" style="0" width="8.88"/>
    <col collapsed="false" customWidth="true" hidden="false" outlineLevel="0" max="7" min="5" style="0" width="8.88"/>
    <col collapsed="false" customWidth="true" hidden="false" outlineLevel="0" max="8" min="8" style="0" width="15.44"/>
    <col collapsed="false" customWidth="true" hidden="false" outlineLevel="0" max="9" min="9" style="0" width="19.78"/>
    <col collapsed="false" customWidth="true" hidden="false" outlineLevel="0" max="10" min="10" style="0" width="8.88"/>
    <col collapsed="false" customWidth="true" hidden="false" outlineLevel="0" max="14" min="14" style="0" width="8.88"/>
    <col collapsed="false" customWidth="true" hidden="false" outlineLevel="0" max="15" min="15" style="0" width="16.33"/>
    <col collapsed="false" customWidth="true" hidden="false" outlineLevel="0" max="16" min="16" style="0" width="17.33"/>
    <col collapsed="false" customWidth="true" hidden="false" outlineLevel="0" max="17" min="17" style="0" width="8.88"/>
    <col collapsed="false" customWidth="true" hidden="false" outlineLevel="0" max="20" min="20" style="0" width="8.78"/>
    <col collapsed="false" customWidth="true" hidden="false" outlineLevel="0" max="21" min="21" style="0" width="15.22"/>
    <col collapsed="false" customWidth="true" hidden="false" outlineLevel="0" max="22" min="22" style="0" width="20.22"/>
  </cols>
  <sheetData>
    <row r="1" customFormat="false" ht="29.25" hidden="false" customHeight="true" outlineLevel="0" collapsed="false">
      <c r="A1" s="1" t="s">
        <v>0</v>
      </c>
      <c r="C1" s="1" t="s">
        <v>1</v>
      </c>
      <c r="D1" s="2" t="s">
        <v>2</v>
      </c>
      <c r="E1" s="2" t="s">
        <v>3</v>
      </c>
      <c r="F1" s="2" t="s">
        <v>4</v>
      </c>
      <c r="G1" s="2" t="s">
        <v>5</v>
      </c>
      <c r="H1" s="2" t="s">
        <v>6</v>
      </c>
      <c r="I1" s="3" t="s">
        <v>7</v>
      </c>
      <c r="J1" s="1" t="s">
        <v>8</v>
      </c>
      <c r="K1" s="2" t="s">
        <v>9</v>
      </c>
      <c r="L1" s="2" t="s">
        <v>10</v>
      </c>
      <c r="M1" s="2" t="s">
        <v>11</v>
      </c>
      <c r="N1" s="2" t="s">
        <v>12</v>
      </c>
      <c r="O1" s="2" t="s">
        <v>13</v>
      </c>
      <c r="P1" s="3" t="s">
        <v>14</v>
      </c>
      <c r="Q1" s="1" t="s">
        <v>15</v>
      </c>
      <c r="R1" s="2" t="s">
        <v>2</v>
      </c>
      <c r="S1" s="2" t="s">
        <v>16</v>
      </c>
      <c r="T1" s="2" t="s">
        <v>17</v>
      </c>
      <c r="U1" s="2" t="s">
        <v>18</v>
      </c>
      <c r="V1" s="3" t="s">
        <v>19</v>
      </c>
    </row>
    <row r="2" customFormat="false" ht="303" hidden="false" customHeight="true" outlineLevel="0" collapsed="false">
      <c r="A2" s="4" t="s">
        <v>20</v>
      </c>
      <c r="C2" s="5" t="n">
        <v>1001</v>
      </c>
      <c r="D2" s="6" t="s">
        <v>21</v>
      </c>
      <c r="E2" s="6" t="n">
        <v>61</v>
      </c>
      <c r="F2" s="6" t="n">
        <v>48</v>
      </c>
      <c r="G2" s="6" t="n">
        <v>76</v>
      </c>
      <c r="H2" s="7" t="n">
        <v>43101</v>
      </c>
      <c r="I2" s="8" t="str">
        <f aca="false">IF(E2&gt;=90,"A",IF(E2&gt;=75,"B",IF(E2&gt;=60,"C","F")))</f>
        <v>C</v>
      </c>
      <c r="J2" s="5" t="n">
        <v>2001</v>
      </c>
      <c r="K2" s="6" t="s">
        <v>22</v>
      </c>
      <c r="L2" s="6" t="s">
        <v>23</v>
      </c>
      <c r="M2" s="6" t="s">
        <v>24</v>
      </c>
      <c r="N2" s="6" t="n">
        <v>7048</v>
      </c>
      <c r="O2" s="7" t="n">
        <v>44927</v>
      </c>
      <c r="P2" s="8" t="str">
        <f aca="false">IF(OR(N2&gt;40000,K2="Laptop"),"Yes","No")</f>
        <v>No</v>
      </c>
      <c r="Q2" s="5" t="n">
        <v>3001</v>
      </c>
      <c r="R2" s="6" t="s">
        <v>25</v>
      </c>
      <c r="S2" s="6" t="s">
        <v>26</v>
      </c>
      <c r="T2" s="6" t="n">
        <v>86766</v>
      </c>
      <c r="U2" s="7" t="n">
        <v>42005</v>
      </c>
      <c r="V2" s="8" t="n">
        <f aca="true">IF(U2&gt;TODAY(),0,DATEDIF(U2,TODAY(),"Y"))</f>
        <v>11</v>
      </c>
    </row>
    <row r="3" customFormat="false" ht="29.25" hidden="false" customHeight="true" outlineLevel="0" collapsed="false">
      <c r="A3" s="9"/>
      <c r="C3" s="5" t="n">
        <v>1002</v>
      </c>
      <c r="D3" s="6" t="s">
        <v>27</v>
      </c>
      <c r="E3" s="6" t="n">
        <v>78</v>
      </c>
      <c r="F3" s="6" t="n">
        <v>76</v>
      </c>
      <c r="G3" s="6" t="n">
        <v>70</v>
      </c>
      <c r="H3" s="7" t="n">
        <v>43281</v>
      </c>
      <c r="I3" s="8" t="str">
        <f aca="false">IF(E3&gt;=90,"A",IF(E3&gt;=75,"B",IF(E3&gt;=60,"C","F")))</f>
        <v>B</v>
      </c>
      <c r="J3" s="5" t="n">
        <v>2002</v>
      </c>
      <c r="K3" s="6" t="s">
        <v>28</v>
      </c>
      <c r="L3" s="6" t="s">
        <v>29</v>
      </c>
      <c r="M3" s="6" t="s">
        <v>30</v>
      </c>
      <c r="N3" s="6" t="n">
        <v>17428</v>
      </c>
      <c r="O3" s="7" t="n">
        <v>44942</v>
      </c>
      <c r="P3" s="8" t="str">
        <f aca="false">IF(OR(N3&gt;40000,K3="Laptop"),"Yes","No")</f>
        <v>No</v>
      </c>
      <c r="Q3" s="5" t="n">
        <v>3002</v>
      </c>
      <c r="R3" s="6" t="s">
        <v>31</v>
      </c>
      <c r="S3" s="6" t="s">
        <v>26</v>
      </c>
      <c r="T3" s="6" t="n">
        <v>31943</v>
      </c>
      <c r="U3" s="7" t="n">
        <v>42255</v>
      </c>
      <c r="V3" s="8" t="n">
        <f aca="true">IF(U3&gt;TODAY(),0,DATEDIF(U3,TODAY(),"Y"))</f>
        <v>10</v>
      </c>
    </row>
    <row r="4" customFormat="false" ht="29.25" hidden="false" customHeight="true" outlineLevel="0" collapsed="false">
      <c r="A4" s="10"/>
      <c r="C4" s="5" t="n">
        <v>1003</v>
      </c>
      <c r="D4" s="6" t="s">
        <v>32</v>
      </c>
      <c r="E4" s="6" t="n">
        <v>97</v>
      </c>
      <c r="F4" s="6" t="n">
        <v>60</v>
      </c>
      <c r="G4" s="6" t="n">
        <v>51</v>
      </c>
      <c r="H4" s="7" t="n">
        <v>43461</v>
      </c>
      <c r="I4" s="8" t="str">
        <f aca="false">IF(E4&gt;=90,"A",IF(E4&gt;=75,"B",IF(E4&gt;=60,"C","F")))</f>
        <v>A</v>
      </c>
      <c r="J4" s="5" t="n">
        <v>2003</v>
      </c>
      <c r="K4" s="6" t="s">
        <v>33</v>
      </c>
      <c r="L4" s="6" t="s">
        <v>23</v>
      </c>
      <c r="M4" s="6" t="s">
        <v>34</v>
      </c>
      <c r="N4" s="6" t="n">
        <v>23672</v>
      </c>
      <c r="O4" s="7" t="n">
        <v>44957</v>
      </c>
      <c r="P4" s="8" t="str">
        <f aca="false">IF(OR(N4&gt;40000,K4="Laptop"),"Yes","No")</f>
        <v>No</v>
      </c>
      <c r="Q4" s="5" t="n">
        <v>3003</v>
      </c>
      <c r="R4" s="6" t="s">
        <v>35</v>
      </c>
      <c r="S4" s="6" t="s">
        <v>36</v>
      </c>
      <c r="T4" s="6" t="n">
        <v>63374</v>
      </c>
      <c r="U4" s="7" t="n">
        <v>42505</v>
      </c>
      <c r="V4" s="8" t="n">
        <f aca="true">IF(U4&gt;TODAY(),0,DATEDIF(U4,TODAY(),"Y"))</f>
        <v>9</v>
      </c>
    </row>
    <row r="5" customFormat="false" ht="29.25" hidden="false" customHeight="true" outlineLevel="0" collapsed="false">
      <c r="A5" s="11" t="s">
        <v>37</v>
      </c>
      <c r="C5" s="5" t="n">
        <v>1004</v>
      </c>
      <c r="D5" s="6" t="s">
        <v>38</v>
      </c>
      <c r="E5" s="6" t="n">
        <v>74</v>
      </c>
      <c r="F5" s="6" t="n">
        <v>55</v>
      </c>
      <c r="G5" s="6" t="n">
        <v>46</v>
      </c>
      <c r="H5" s="7" t="n">
        <v>43641</v>
      </c>
      <c r="I5" s="8" t="str">
        <f aca="false">IF(E5&gt;=90,"A",IF(E5&gt;=75,"B",IF(E5&gt;=60,"C","F")))</f>
        <v>C</v>
      </c>
      <c r="J5" s="5" t="n">
        <v>2004</v>
      </c>
      <c r="K5" s="6" t="s">
        <v>28</v>
      </c>
      <c r="L5" s="6" t="s">
        <v>39</v>
      </c>
      <c r="M5" s="6" t="s">
        <v>40</v>
      </c>
      <c r="N5" s="6" t="n">
        <v>5264</v>
      </c>
      <c r="O5" s="7" t="n">
        <v>44972</v>
      </c>
      <c r="P5" s="8" t="str">
        <f aca="false">IF(OR(N5&gt;40000,K5="Laptop"),"Yes","No")</f>
        <v>No</v>
      </c>
      <c r="Q5" s="5" t="n">
        <v>3004</v>
      </c>
      <c r="R5" s="6" t="s">
        <v>41</v>
      </c>
      <c r="S5" s="6" t="s">
        <v>26</v>
      </c>
      <c r="T5" s="6" t="n">
        <v>109972</v>
      </c>
      <c r="U5" s="7" t="n">
        <v>42755</v>
      </c>
      <c r="V5" s="8" t="n">
        <f aca="true">IF(U5&gt;TODAY(),0,DATEDIF(U5,TODAY(),"Y"))</f>
        <v>9</v>
      </c>
    </row>
    <row r="6" customFormat="false" ht="29.25" hidden="false" customHeight="true" outlineLevel="0" collapsed="false">
      <c r="A6" s="4" t="s">
        <v>42</v>
      </c>
      <c r="C6" s="5" t="n">
        <v>1005</v>
      </c>
      <c r="D6" s="6" t="s">
        <v>43</v>
      </c>
      <c r="E6" s="6" t="n">
        <v>68</v>
      </c>
      <c r="F6" s="6" t="n">
        <v>74</v>
      </c>
      <c r="G6" s="6" t="n">
        <v>84</v>
      </c>
      <c r="H6" s="7" t="n">
        <v>43821</v>
      </c>
      <c r="I6" s="8" t="str">
        <f aca="false">IF(E6&gt;=90,"A",IF(E6&gt;=75,"B",IF(E6&gt;=60,"C","F")))</f>
        <v>C</v>
      </c>
      <c r="J6" s="5" t="n">
        <v>2005</v>
      </c>
      <c r="K6" s="6" t="s">
        <v>22</v>
      </c>
      <c r="L6" s="6" t="s">
        <v>44</v>
      </c>
      <c r="M6" s="6" t="s">
        <v>45</v>
      </c>
      <c r="N6" s="6" t="n">
        <v>43388</v>
      </c>
      <c r="O6" s="7" t="n">
        <v>44987</v>
      </c>
      <c r="P6" s="8" t="str">
        <f aca="false">IF(OR(N6&gt;40000,K6="Laptop"),"Yes","No")</f>
        <v>Yes</v>
      </c>
      <c r="Q6" s="5" t="n">
        <v>3005</v>
      </c>
      <c r="R6" s="6" t="s">
        <v>46</v>
      </c>
      <c r="S6" s="6" t="s">
        <v>47</v>
      </c>
      <c r="T6" s="6" t="n">
        <v>54149</v>
      </c>
      <c r="U6" s="7" t="n">
        <v>43005</v>
      </c>
      <c r="V6" s="8" t="n">
        <f aca="true">IF(U6&gt;TODAY(),0,DATEDIF(U6,TODAY(),"Y"))</f>
        <v>8</v>
      </c>
    </row>
    <row r="7" customFormat="false" ht="29.25" hidden="false" customHeight="true" outlineLevel="0" collapsed="false">
      <c r="A7" s="12" t="s">
        <v>48</v>
      </c>
      <c r="C7" s="5" t="n">
        <v>1006</v>
      </c>
      <c r="D7" s="6" t="s">
        <v>49</v>
      </c>
      <c r="E7" s="6" t="n">
        <v>80</v>
      </c>
      <c r="F7" s="6" t="n">
        <v>70</v>
      </c>
      <c r="G7" s="6" t="n">
        <v>65</v>
      </c>
      <c r="H7" s="7" t="n">
        <v>44001</v>
      </c>
      <c r="I7" s="8" t="str">
        <f aca="false">IF(E7&gt;=90,"A",IF(E7&gt;=75,"B",IF(E7&gt;=60,"C","F")))</f>
        <v>B</v>
      </c>
      <c r="J7" s="5" t="n">
        <v>2006</v>
      </c>
      <c r="K7" s="6" t="s">
        <v>33</v>
      </c>
      <c r="L7" s="6" t="s">
        <v>44</v>
      </c>
      <c r="M7" s="6" t="s">
        <v>50</v>
      </c>
      <c r="N7" s="6" t="n">
        <v>19757</v>
      </c>
      <c r="O7" s="7" t="n">
        <v>45002</v>
      </c>
      <c r="P7" s="8" t="str">
        <f aca="false">IF(OR(N7&gt;40000,K7="Laptop"),"Yes","No")</f>
        <v>No</v>
      </c>
      <c r="Q7" s="5" t="n">
        <v>3006</v>
      </c>
      <c r="R7" s="6" t="s">
        <v>51</v>
      </c>
      <c r="S7" s="6" t="s">
        <v>47</v>
      </c>
      <c r="T7" s="6" t="n">
        <v>78689</v>
      </c>
      <c r="U7" s="7" t="n">
        <v>43255</v>
      </c>
      <c r="V7" s="8" t="n">
        <f aca="true">IF(U7&gt;TODAY(),0,DATEDIF(U7,TODAY(),"Y"))</f>
        <v>7</v>
      </c>
    </row>
    <row r="8" customFormat="false" ht="29.25" hidden="false" customHeight="true" outlineLevel="0" collapsed="false">
      <c r="A8" s="12" t="s">
        <v>52</v>
      </c>
      <c r="C8" s="5" t="n">
        <v>1007</v>
      </c>
      <c r="D8" s="6" t="s">
        <v>53</v>
      </c>
      <c r="E8" s="6" t="n">
        <v>75</v>
      </c>
      <c r="F8" s="6" t="n">
        <v>47</v>
      </c>
      <c r="G8" s="6" t="n">
        <v>78</v>
      </c>
      <c r="H8" s="7" t="n">
        <v>44181</v>
      </c>
      <c r="I8" s="8" t="str">
        <f aca="false">IF(E8&gt;=90,"A",IF(E8&gt;=75,"B",IF(E8&gt;=60,"C","F")))</f>
        <v>B</v>
      </c>
      <c r="J8" s="5" t="n">
        <v>2007</v>
      </c>
      <c r="K8" s="6" t="s">
        <v>33</v>
      </c>
      <c r="L8" s="6" t="s">
        <v>39</v>
      </c>
      <c r="M8" s="6" t="s">
        <v>54</v>
      </c>
      <c r="N8" s="6" t="n">
        <v>32058</v>
      </c>
      <c r="O8" s="7" t="n">
        <v>45017</v>
      </c>
      <c r="P8" s="8" t="str">
        <f aca="false">IF(OR(N8&gt;40000,K8="Laptop"),"Yes","No")</f>
        <v>No</v>
      </c>
      <c r="Q8" s="5" t="n">
        <v>3007</v>
      </c>
      <c r="R8" s="6" t="s">
        <v>55</v>
      </c>
      <c r="S8" s="6" t="s">
        <v>56</v>
      </c>
      <c r="T8" s="6" t="n">
        <v>35960</v>
      </c>
      <c r="U8" s="7" t="n">
        <v>43505</v>
      </c>
      <c r="V8" s="8" t="n">
        <f aca="true">IF(U8&gt;TODAY(),0,DATEDIF(U8,TODAY(),"Y"))</f>
        <v>7</v>
      </c>
    </row>
    <row r="9" customFormat="false" ht="29.25" hidden="false" customHeight="true" outlineLevel="0" collapsed="false">
      <c r="A9" s="12"/>
      <c r="C9" s="5" t="n">
        <v>1008</v>
      </c>
      <c r="D9" s="6" t="s">
        <v>57</v>
      </c>
      <c r="E9" s="6" t="n">
        <v>94</v>
      </c>
      <c r="F9" s="6" t="n">
        <v>67</v>
      </c>
      <c r="G9" s="6" t="n">
        <v>64</v>
      </c>
      <c r="H9" s="7" t="n">
        <v>44361</v>
      </c>
      <c r="I9" s="8" t="str">
        <f aca="false">IF(E9&gt;=90,"A",IF(E9&gt;=75,"B",IF(E9&gt;=60,"C","F")))</f>
        <v>A</v>
      </c>
      <c r="J9" s="5" t="n">
        <v>2008</v>
      </c>
      <c r="K9" s="6" t="s">
        <v>22</v>
      </c>
      <c r="L9" s="6" t="s">
        <v>39</v>
      </c>
      <c r="M9" s="6" t="s">
        <v>58</v>
      </c>
      <c r="N9" s="6" t="n">
        <v>46429</v>
      </c>
      <c r="O9" s="7" t="n">
        <v>45032</v>
      </c>
      <c r="P9" s="8" t="str">
        <f aca="false">IF(OR(N9&gt;40000,K9="Laptop"),"Yes","No")</f>
        <v>Yes</v>
      </c>
      <c r="Q9" s="5" t="n">
        <v>3008</v>
      </c>
      <c r="R9" s="6" t="s">
        <v>59</v>
      </c>
      <c r="S9" s="6" t="s">
        <v>47</v>
      </c>
      <c r="T9" s="6" t="n">
        <v>91659</v>
      </c>
      <c r="U9" s="7" t="n">
        <v>43755</v>
      </c>
      <c r="V9" s="8" t="n">
        <f aca="true">IF(U9&gt;TODAY(),0,DATEDIF(U9,TODAY(),"Y"))</f>
        <v>6</v>
      </c>
    </row>
    <row r="10" customFormat="false" ht="29.25" hidden="false" customHeight="true" outlineLevel="0" collapsed="false">
      <c r="A10" s="4" t="s">
        <v>60</v>
      </c>
      <c r="C10" s="5" t="n">
        <v>1009</v>
      </c>
      <c r="D10" s="6" t="s">
        <v>61</v>
      </c>
      <c r="E10" s="6" t="n">
        <v>41</v>
      </c>
      <c r="F10" s="6" t="n">
        <v>75</v>
      </c>
      <c r="G10" s="6" t="n">
        <v>56</v>
      </c>
      <c r="H10" s="7" t="n">
        <v>44541</v>
      </c>
      <c r="I10" s="8" t="str">
        <f aca="false">IF(E10&gt;=90,"A",IF(E10&gt;=75,"B",IF(E10&gt;=60,"C","F")))</f>
        <v>F</v>
      </c>
      <c r="J10" s="5" t="n">
        <v>2009</v>
      </c>
      <c r="K10" s="6" t="s">
        <v>28</v>
      </c>
      <c r="L10" s="6" t="s">
        <v>39</v>
      </c>
      <c r="M10" s="6" t="s">
        <v>62</v>
      </c>
      <c r="N10" s="6" t="n">
        <v>19746</v>
      </c>
      <c r="O10" s="7" t="n">
        <v>45047</v>
      </c>
      <c r="P10" s="8" t="str">
        <f aca="false">IF(OR(N10&gt;40000,K10="Laptop"),"Yes","No")</f>
        <v>No</v>
      </c>
      <c r="Q10" s="5" t="n">
        <v>3009</v>
      </c>
      <c r="R10" s="6" t="s">
        <v>63</v>
      </c>
      <c r="S10" s="6" t="s">
        <v>47</v>
      </c>
      <c r="T10" s="6" t="n">
        <v>90423</v>
      </c>
      <c r="U10" s="7" t="n">
        <v>44005</v>
      </c>
      <c r="V10" s="8" t="n">
        <f aca="true">IF(U10&gt;TODAY(),0,DATEDIF(U10,TODAY(),"Y"))</f>
        <v>5</v>
      </c>
    </row>
    <row r="11" customFormat="false" ht="29.25" hidden="false" customHeight="true" outlineLevel="0" collapsed="false">
      <c r="A11" s="12" t="s">
        <v>64</v>
      </c>
      <c r="C11" s="5" t="n">
        <v>1010</v>
      </c>
      <c r="D11" s="6" t="s">
        <v>65</v>
      </c>
      <c r="E11" s="6" t="n">
        <v>98</v>
      </c>
      <c r="F11" s="6" t="n">
        <v>54</v>
      </c>
      <c r="G11" s="6" t="n">
        <v>58</v>
      </c>
      <c r="H11" s="7" t="n">
        <v>44721</v>
      </c>
      <c r="I11" s="8" t="str">
        <f aca="false">IF(E11&gt;=90,"A",IF(E11&gt;=75,"B",IF(E11&gt;=60,"C","F")))</f>
        <v>A</v>
      </c>
      <c r="J11" s="5" t="n">
        <v>2010</v>
      </c>
      <c r="K11" s="6" t="s">
        <v>22</v>
      </c>
      <c r="L11" s="6" t="s">
        <v>23</v>
      </c>
      <c r="M11" s="6" t="s">
        <v>66</v>
      </c>
      <c r="N11" s="6" t="n">
        <v>35185</v>
      </c>
      <c r="O11" s="7" t="n">
        <v>45062</v>
      </c>
      <c r="P11" s="8" t="str">
        <f aca="false">IF(OR(N11&gt;40000,K11="Laptop"),"Yes","No")</f>
        <v>No</v>
      </c>
      <c r="Q11" s="5" t="n">
        <v>3010</v>
      </c>
      <c r="R11" s="6" t="s">
        <v>67</v>
      </c>
      <c r="S11" s="6" t="s">
        <v>36</v>
      </c>
      <c r="T11" s="6" t="n">
        <v>107877</v>
      </c>
      <c r="U11" s="7" t="n">
        <v>44255</v>
      </c>
      <c r="V11" s="8" t="n">
        <f aca="true">IF(U11&gt;TODAY(),0,DATEDIF(U11,TODAY(),"Y"))</f>
        <v>5</v>
      </c>
    </row>
    <row r="12" customFormat="false" ht="29.25" hidden="false" customHeight="true" outlineLevel="0" collapsed="false">
      <c r="A12" s="12" t="s">
        <v>68</v>
      </c>
      <c r="C12" s="5" t="n">
        <v>1011</v>
      </c>
      <c r="D12" s="6" t="s">
        <v>69</v>
      </c>
      <c r="E12" s="6" t="n">
        <v>73</v>
      </c>
      <c r="F12" s="6" t="n">
        <v>79</v>
      </c>
      <c r="G12" s="6" t="n">
        <v>53</v>
      </c>
      <c r="H12" s="7" t="n">
        <v>44901</v>
      </c>
      <c r="I12" s="8" t="str">
        <f aca="false">IF(E12&gt;=90,"A",IF(E12&gt;=75,"B",IF(E12&gt;=60,"C","F")))</f>
        <v>C</v>
      </c>
      <c r="J12" s="5" t="n">
        <v>2011</v>
      </c>
      <c r="K12" s="6" t="s">
        <v>22</v>
      </c>
      <c r="L12" s="6" t="s">
        <v>39</v>
      </c>
      <c r="M12" s="6" t="s">
        <v>70</v>
      </c>
      <c r="N12" s="6" t="n">
        <v>33920</v>
      </c>
      <c r="O12" s="7" t="n">
        <v>45077</v>
      </c>
      <c r="P12" s="8" t="str">
        <f aca="false">IF(OR(N12&gt;40000,K12="Laptop"),"Yes","No")</f>
        <v>No</v>
      </c>
      <c r="Q12" s="5" t="n">
        <v>3011</v>
      </c>
      <c r="R12" s="6" t="s">
        <v>71</v>
      </c>
      <c r="S12" s="6" t="s">
        <v>26</v>
      </c>
      <c r="T12" s="6" t="n">
        <v>107634</v>
      </c>
      <c r="U12" s="7" t="n">
        <v>44505</v>
      </c>
      <c r="V12" s="8" t="n">
        <f aca="true">IF(U12&gt;TODAY(),0,DATEDIF(U12,TODAY(),"Y"))</f>
        <v>4</v>
      </c>
    </row>
    <row r="13" customFormat="false" ht="29.25" hidden="false" customHeight="true" outlineLevel="0" collapsed="false">
      <c r="A13" s="12"/>
      <c r="C13" s="5" t="n">
        <v>1012</v>
      </c>
      <c r="D13" s="6" t="s">
        <v>72</v>
      </c>
      <c r="E13" s="6" t="n">
        <v>85</v>
      </c>
      <c r="F13" s="6" t="n">
        <v>89</v>
      </c>
      <c r="G13" s="6" t="n">
        <v>79</v>
      </c>
      <c r="H13" s="7" t="n">
        <v>45081</v>
      </c>
      <c r="I13" s="8" t="str">
        <f aca="false">IF(E13&gt;=90,"A",IF(E13&gt;=75,"B",IF(E13&gt;=60,"C","F")))</f>
        <v>B</v>
      </c>
      <c r="J13" s="5" t="n">
        <v>2012</v>
      </c>
      <c r="K13" s="6" t="s">
        <v>73</v>
      </c>
      <c r="L13" s="6" t="s">
        <v>44</v>
      </c>
      <c r="M13" s="6" t="s">
        <v>74</v>
      </c>
      <c r="N13" s="6" t="n">
        <v>35611</v>
      </c>
      <c r="O13" s="7" t="n">
        <v>45092</v>
      </c>
      <c r="P13" s="8" t="str">
        <f aca="false">IF(OR(N13&gt;40000,K13="Laptop"),"Yes","No")</f>
        <v>No</v>
      </c>
      <c r="Q13" s="5" t="n">
        <v>3012</v>
      </c>
      <c r="R13" s="6" t="s">
        <v>75</v>
      </c>
      <c r="S13" s="6" t="s">
        <v>26</v>
      </c>
      <c r="T13" s="6" t="n">
        <v>35226</v>
      </c>
      <c r="U13" s="7" t="n">
        <v>44755</v>
      </c>
      <c r="V13" s="8" t="n">
        <f aca="true">IF(U13&gt;TODAY(),0,DATEDIF(U13,TODAY(),"Y"))</f>
        <v>3</v>
      </c>
    </row>
    <row r="14" customFormat="false" ht="29.25" hidden="false" customHeight="true" outlineLevel="0" collapsed="false">
      <c r="A14" s="4" t="s">
        <v>76</v>
      </c>
      <c r="C14" s="5" t="n">
        <v>1013</v>
      </c>
      <c r="D14" s="6" t="s">
        <v>77</v>
      </c>
      <c r="E14" s="6" t="n">
        <v>98</v>
      </c>
      <c r="F14" s="6" t="n">
        <v>90</v>
      </c>
      <c r="G14" s="6" t="n">
        <v>97</v>
      </c>
      <c r="H14" s="7" t="n">
        <v>45261</v>
      </c>
      <c r="I14" s="8" t="str">
        <f aca="false">IF(E14&gt;=90,"A",IF(E14&gt;=75,"B",IF(E14&gt;=60,"C","F")))</f>
        <v>A</v>
      </c>
      <c r="J14" s="5" t="n">
        <v>2013</v>
      </c>
      <c r="K14" s="6" t="s">
        <v>78</v>
      </c>
      <c r="L14" s="6" t="s">
        <v>39</v>
      </c>
      <c r="M14" s="6" t="s">
        <v>79</v>
      </c>
      <c r="N14" s="6" t="n">
        <v>15560</v>
      </c>
      <c r="O14" s="7" t="n">
        <v>45107</v>
      </c>
      <c r="P14" s="8" t="str">
        <f aca="false">IF(OR(N14&gt;40000,K14="Laptop"),"Yes","No")</f>
        <v>Yes</v>
      </c>
      <c r="Q14" s="5" t="n">
        <v>3013</v>
      </c>
      <c r="R14" s="6" t="s">
        <v>80</v>
      </c>
      <c r="S14" s="6" t="s">
        <v>36</v>
      </c>
      <c r="T14" s="6" t="n">
        <v>40872</v>
      </c>
      <c r="U14" s="7" t="n">
        <v>45005</v>
      </c>
      <c r="V14" s="8" t="n">
        <f aca="true">IF(U14&gt;TODAY(),0,DATEDIF(U14,TODAY(),"Y"))</f>
        <v>3</v>
      </c>
    </row>
    <row r="15" customFormat="false" ht="29.25" hidden="false" customHeight="true" outlineLevel="0" collapsed="false">
      <c r="A15" s="12" t="s">
        <v>81</v>
      </c>
      <c r="C15" s="5" t="n">
        <v>1014</v>
      </c>
      <c r="D15" s="6" t="s">
        <v>82</v>
      </c>
      <c r="E15" s="6" t="n">
        <v>93</v>
      </c>
      <c r="F15" s="6" t="n">
        <v>40</v>
      </c>
      <c r="G15" s="6" t="n">
        <v>44</v>
      </c>
      <c r="H15" s="7" t="n">
        <v>45441</v>
      </c>
      <c r="I15" s="8" t="str">
        <f aca="false">IF(E15&gt;=90,"A",IF(E15&gt;=75,"B",IF(E15&gt;=60,"C","F")))</f>
        <v>A</v>
      </c>
      <c r="J15" s="5" t="n">
        <v>2014</v>
      </c>
      <c r="K15" s="6" t="s">
        <v>78</v>
      </c>
      <c r="L15" s="6" t="s">
        <v>23</v>
      </c>
      <c r="M15" s="6" t="s">
        <v>83</v>
      </c>
      <c r="N15" s="6" t="n">
        <v>7283</v>
      </c>
      <c r="O15" s="7" t="n">
        <v>45122</v>
      </c>
      <c r="P15" s="8" t="str">
        <f aca="false">IF(OR(N15&gt;40000,K15="Laptop"),"Yes","No")</f>
        <v>Yes</v>
      </c>
      <c r="Q15" s="5" t="n">
        <v>3014</v>
      </c>
      <c r="R15" s="6" t="s">
        <v>84</v>
      </c>
      <c r="S15" s="6" t="s">
        <v>36</v>
      </c>
      <c r="T15" s="6" t="n">
        <v>55378</v>
      </c>
      <c r="U15" s="7" t="n">
        <v>45255</v>
      </c>
      <c r="V15" s="8" t="n">
        <f aca="true">IF(U15&gt;TODAY(),0,DATEDIF(U15,TODAY(),"Y"))</f>
        <v>2</v>
      </c>
    </row>
    <row r="16" customFormat="false" ht="29.25" hidden="false" customHeight="true" outlineLevel="0" collapsed="false">
      <c r="A16" s="12" t="s">
        <v>85</v>
      </c>
      <c r="C16" s="5" t="n">
        <v>1015</v>
      </c>
      <c r="D16" s="6" t="s">
        <v>86</v>
      </c>
      <c r="E16" s="6" t="n">
        <v>70</v>
      </c>
      <c r="F16" s="6" t="n">
        <v>51</v>
      </c>
      <c r="G16" s="6" t="n">
        <v>75</v>
      </c>
      <c r="H16" s="7" t="n">
        <v>45621</v>
      </c>
      <c r="I16" s="8" t="str">
        <f aca="false">IF(E16&gt;=90,"A",IF(E16&gt;=75,"B",IF(E16&gt;=60,"C","F")))</f>
        <v>C</v>
      </c>
      <c r="J16" s="5" t="n">
        <v>2015</v>
      </c>
      <c r="K16" s="6" t="s">
        <v>78</v>
      </c>
      <c r="L16" s="6" t="s">
        <v>39</v>
      </c>
      <c r="M16" s="6" t="s">
        <v>87</v>
      </c>
      <c r="N16" s="6" t="n">
        <v>15678</v>
      </c>
      <c r="O16" s="7" t="n">
        <v>45137</v>
      </c>
      <c r="P16" s="8" t="str">
        <f aca="false">IF(OR(N16&gt;40000,K16="Laptop"),"Yes","No")</f>
        <v>Yes</v>
      </c>
      <c r="Q16" s="5" t="n">
        <v>3015</v>
      </c>
      <c r="R16" s="6" t="s">
        <v>88</v>
      </c>
      <c r="S16" s="6" t="s">
        <v>36</v>
      </c>
      <c r="T16" s="6" t="n">
        <v>63297</v>
      </c>
      <c r="U16" s="7" t="n">
        <v>45505</v>
      </c>
      <c r="V16" s="8" t="n">
        <f aca="true">IF(U16&gt;TODAY(),0,DATEDIF(U16,TODAY(),"Y"))</f>
        <v>1</v>
      </c>
    </row>
    <row r="17" customFormat="false" ht="29.25" hidden="false" customHeight="true" outlineLevel="0" collapsed="false">
      <c r="A17" s="12"/>
      <c r="C17" s="5" t="n">
        <v>1016</v>
      </c>
      <c r="D17" s="6" t="s">
        <v>89</v>
      </c>
      <c r="E17" s="6" t="n">
        <v>98</v>
      </c>
      <c r="F17" s="6" t="n">
        <v>77</v>
      </c>
      <c r="G17" s="6" t="n">
        <v>60</v>
      </c>
      <c r="H17" s="7" t="n">
        <v>45801</v>
      </c>
      <c r="I17" s="8" t="str">
        <f aca="false">IF(E17&gt;=90,"A",IF(E17&gt;=75,"B",IF(E17&gt;=60,"C","F")))</f>
        <v>A</v>
      </c>
      <c r="J17" s="5" t="n">
        <v>2016</v>
      </c>
      <c r="K17" s="6" t="s">
        <v>33</v>
      </c>
      <c r="L17" s="6" t="s">
        <v>39</v>
      </c>
      <c r="M17" s="6" t="s">
        <v>90</v>
      </c>
      <c r="N17" s="6" t="n">
        <v>5277</v>
      </c>
      <c r="O17" s="7" t="n">
        <v>45152</v>
      </c>
      <c r="P17" s="8" t="str">
        <f aca="false">IF(OR(N17&gt;40000,K17="Laptop"),"Yes","No")</f>
        <v>No</v>
      </c>
      <c r="Q17" s="5" t="n">
        <v>3016</v>
      </c>
      <c r="R17" s="6" t="s">
        <v>91</v>
      </c>
      <c r="S17" s="6" t="s">
        <v>26</v>
      </c>
      <c r="T17" s="6" t="n">
        <v>114173</v>
      </c>
      <c r="U17" s="7" t="n">
        <v>45755</v>
      </c>
      <c r="V17" s="8" t="n">
        <f aca="true">IF(U17&gt;TODAY(),0,DATEDIF(U17,TODAY(),"Y"))</f>
        <v>0</v>
      </c>
    </row>
    <row r="18" customFormat="false" ht="29.25" hidden="false" customHeight="true" outlineLevel="0" collapsed="false">
      <c r="A18" s="4" t="s">
        <v>92</v>
      </c>
      <c r="C18" s="5" t="n">
        <v>1017</v>
      </c>
      <c r="D18" s="6" t="s">
        <v>93</v>
      </c>
      <c r="E18" s="6" t="n">
        <v>66</v>
      </c>
      <c r="F18" s="6" t="n">
        <v>59</v>
      </c>
      <c r="G18" s="6" t="n">
        <v>40</v>
      </c>
      <c r="H18" s="7" t="n">
        <v>45981</v>
      </c>
      <c r="I18" s="8" t="str">
        <f aca="false">IF(E18&gt;=90,"A",IF(E18&gt;=75,"B",IF(E18&gt;=60,"C","F")))</f>
        <v>C</v>
      </c>
      <c r="J18" s="5" t="n">
        <v>2017</v>
      </c>
      <c r="K18" s="6" t="s">
        <v>73</v>
      </c>
      <c r="L18" s="6" t="s">
        <v>44</v>
      </c>
      <c r="M18" s="6" t="s">
        <v>94</v>
      </c>
      <c r="N18" s="6" t="n">
        <v>41871</v>
      </c>
      <c r="O18" s="7" t="n">
        <v>45167</v>
      </c>
      <c r="P18" s="8" t="str">
        <f aca="false">IF(OR(N18&gt;40000,K18="Laptop"),"Yes","No")</f>
        <v>Yes</v>
      </c>
      <c r="Q18" s="5" t="n">
        <v>3017</v>
      </c>
      <c r="R18" s="6" t="s">
        <v>95</v>
      </c>
      <c r="S18" s="6" t="s">
        <v>36</v>
      </c>
      <c r="T18" s="6" t="n">
        <v>86915</v>
      </c>
      <c r="U18" s="7" t="n">
        <v>46005</v>
      </c>
      <c r="V18" s="8" t="n">
        <f aca="true">IF(U18&gt;TODAY(),0,DATEDIF(U18,TODAY(),"Y"))</f>
        <v>0</v>
      </c>
    </row>
    <row r="19" customFormat="false" ht="29.25" hidden="false" customHeight="true" outlineLevel="0" collapsed="false">
      <c r="A19" s="12" t="s">
        <v>96</v>
      </c>
      <c r="C19" s="5" t="n">
        <v>1018</v>
      </c>
      <c r="D19" s="6" t="s">
        <v>97</v>
      </c>
      <c r="E19" s="6" t="n">
        <v>82</v>
      </c>
      <c r="F19" s="6" t="n">
        <v>48</v>
      </c>
      <c r="G19" s="6" t="n">
        <v>79</v>
      </c>
      <c r="H19" s="7" t="n">
        <v>46161</v>
      </c>
      <c r="I19" s="8" t="str">
        <f aca="false">IF(E19&gt;=90,"A",IF(E19&gt;=75,"B",IF(E19&gt;=60,"C","F")))</f>
        <v>B</v>
      </c>
      <c r="J19" s="5" t="n">
        <v>2018</v>
      </c>
      <c r="K19" s="6" t="s">
        <v>73</v>
      </c>
      <c r="L19" s="6" t="s">
        <v>29</v>
      </c>
      <c r="M19" s="6" t="s">
        <v>98</v>
      </c>
      <c r="N19" s="6" t="n">
        <v>38161</v>
      </c>
      <c r="O19" s="7" t="n">
        <v>45182</v>
      </c>
      <c r="P19" s="8" t="str">
        <f aca="false">IF(OR(N19&gt;40000,K19="Laptop"),"Yes","No")</f>
        <v>No</v>
      </c>
      <c r="Q19" s="5" t="n">
        <v>3018</v>
      </c>
      <c r="R19" s="6" t="s">
        <v>99</v>
      </c>
      <c r="S19" s="6" t="s">
        <v>47</v>
      </c>
      <c r="T19" s="6" t="n">
        <v>116284</v>
      </c>
      <c r="U19" s="7" t="n">
        <v>46255</v>
      </c>
      <c r="V19" s="8" t="n">
        <f aca="true">IF(U19&gt;TODAY(),0,DATEDIF(U19,TODAY(),"Y"))</f>
        <v>0</v>
      </c>
    </row>
    <row r="20" customFormat="false" ht="29.25" hidden="false" customHeight="true" outlineLevel="0" collapsed="false">
      <c r="A20" s="12" t="s">
        <v>100</v>
      </c>
      <c r="C20" s="5" t="n">
        <v>1019</v>
      </c>
      <c r="D20" s="6" t="s">
        <v>101</v>
      </c>
      <c r="E20" s="6" t="n">
        <v>90</v>
      </c>
      <c r="F20" s="6" t="n">
        <v>78</v>
      </c>
      <c r="G20" s="6" t="n">
        <v>60</v>
      </c>
      <c r="H20" s="7" t="n">
        <v>46341</v>
      </c>
      <c r="I20" s="8" t="str">
        <f aca="false">IF(E20&gt;=90,"A",IF(E20&gt;=75,"B",IF(E20&gt;=60,"C","F")))</f>
        <v>A</v>
      </c>
      <c r="J20" s="5" t="n">
        <v>2019</v>
      </c>
      <c r="K20" s="6" t="s">
        <v>33</v>
      </c>
      <c r="L20" s="6" t="s">
        <v>29</v>
      </c>
      <c r="M20" s="6" t="s">
        <v>102</v>
      </c>
      <c r="N20" s="6" t="n">
        <v>30436</v>
      </c>
      <c r="O20" s="7" t="n">
        <v>45197</v>
      </c>
      <c r="P20" s="8" t="str">
        <f aca="false">IF(OR(N20&gt;40000,K20="Laptop"),"Yes","No")</f>
        <v>No</v>
      </c>
      <c r="Q20" s="5" t="n">
        <v>3019</v>
      </c>
      <c r="R20" s="6" t="s">
        <v>103</v>
      </c>
      <c r="S20" s="6" t="s">
        <v>56</v>
      </c>
      <c r="T20" s="6" t="n">
        <v>116283</v>
      </c>
      <c r="U20" s="7" t="n">
        <v>46505</v>
      </c>
      <c r="V20" s="8" t="n">
        <f aca="true">IF(U20&gt;TODAY(),0,DATEDIF(U20,TODAY(),"Y"))</f>
        <v>0</v>
      </c>
    </row>
    <row r="21" customFormat="false" ht="29.25" hidden="false" customHeight="true" outlineLevel="0" collapsed="false">
      <c r="A21" s="12" t="s">
        <v>104</v>
      </c>
      <c r="C21" s="5" t="n">
        <v>1020</v>
      </c>
      <c r="D21" s="6" t="s">
        <v>105</v>
      </c>
      <c r="E21" s="6" t="n">
        <v>83</v>
      </c>
      <c r="F21" s="6" t="n">
        <v>92</v>
      </c>
      <c r="G21" s="6" t="n">
        <v>55</v>
      </c>
      <c r="H21" s="7" t="n">
        <v>46521</v>
      </c>
      <c r="I21" s="8" t="str">
        <f aca="false">IF(E21&gt;=90,"A",IF(E21&gt;=75,"B",IF(E21&gt;=60,"C","F")))</f>
        <v>B</v>
      </c>
      <c r="J21" s="5" t="n">
        <v>2020</v>
      </c>
      <c r="K21" s="6" t="s">
        <v>28</v>
      </c>
      <c r="L21" s="6" t="s">
        <v>29</v>
      </c>
      <c r="M21" s="6" t="s">
        <v>106</v>
      </c>
      <c r="N21" s="6" t="n">
        <v>33953</v>
      </c>
      <c r="O21" s="7" t="n">
        <v>45212</v>
      </c>
      <c r="P21" s="8" t="str">
        <f aca="false">IF(OR(N21&gt;40000,K21="Laptop"),"Yes","No")</f>
        <v>No</v>
      </c>
      <c r="Q21" s="5" t="n">
        <v>3020</v>
      </c>
      <c r="R21" s="6" t="s">
        <v>107</v>
      </c>
      <c r="S21" s="6" t="s">
        <v>56</v>
      </c>
      <c r="T21" s="6" t="n">
        <v>99924</v>
      </c>
      <c r="U21" s="7" t="n">
        <v>46755</v>
      </c>
      <c r="V21" s="8" t="n">
        <f aca="true">IF(U21&gt;TODAY(),0,DATEDIF(U21,TODAY(),"Y"))</f>
        <v>0</v>
      </c>
    </row>
    <row r="22" customFormat="false" ht="15" hidden="false" customHeight="true" outlineLevel="0" collapsed="false">
      <c r="A22" s="12"/>
    </row>
    <row r="23" customFormat="false" ht="43.5" hidden="false" customHeight="true" outlineLevel="0" collapsed="false">
      <c r="A23" s="4" t="s">
        <v>108</v>
      </c>
    </row>
    <row r="24" customFormat="false" ht="101.25" hidden="false" customHeight="true" outlineLevel="0" collapsed="false">
      <c r="A24" s="12" t="s">
        <v>109</v>
      </c>
    </row>
    <row r="25" customFormat="false" ht="87" hidden="false" customHeight="true" outlineLevel="0" collapsed="false">
      <c r="A25" s="12" t="s">
        <v>110</v>
      </c>
    </row>
    <row r="26" customFormat="false" ht="15" hidden="false" customHeight="true" outlineLevel="0" collapsed="false">
      <c r="A26" s="12"/>
    </row>
    <row r="27" customFormat="false" ht="72" hidden="false" customHeight="true" outlineLevel="0" collapsed="false">
      <c r="A27" s="4" t="s">
        <v>111</v>
      </c>
    </row>
    <row r="28" customFormat="false" ht="115.5" hidden="false" customHeight="true" outlineLevel="0" collapsed="false">
      <c r="A28" s="12" t="s">
        <v>112</v>
      </c>
    </row>
    <row r="29" customFormat="false" ht="129.75" hidden="false" customHeight="true" outlineLevel="0" collapsed="false">
      <c r="A29" s="12" t="s">
        <v>113</v>
      </c>
    </row>
    <row r="30" customFormat="false" ht="15" hidden="false" customHeight="true" outlineLevel="0" collapsed="false">
      <c r="A30" s="12"/>
    </row>
    <row r="31" customFormat="false" ht="57.75" hidden="false" customHeight="true" outlineLevel="0" collapsed="false">
      <c r="A31" s="4" t="s">
        <v>114</v>
      </c>
    </row>
    <row r="32" customFormat="false" ht="115.5" hidden="false" customHeight="true" outlineLevel="0" collapsed="false">
      <c r="A32" s="12" t="s">
        <v>115</v>
      </c>
    </row>
    <row r="33" customFormat="false" ht="101.25" hidden="false" customHeight="true" outlineLevel="0" collapsed="false">
      <c r="A33" s="12" t="s">
        <v>116</v>
      </c>
    </row>
    <row r="34" customFormat="false" ht="15" hidden="false" customHeight="true" outlineLevel="0" collapsed="false">
      <c r="A34" s="12"/>
    </row>
    <row r="35" customFormat="false" ht="43.5" hidden="false" customHeight="true" outlineLevel="0" collapsed="false">
      <c r="A35" s="4" t="s">
        <v>117</v>
      </c>
    </row>
    <row r="36" customFormat="false" ht="144" hidden="false" customHeight="true" outlineLevel="0" collapsed="false">
      <c r="A36" s="12" t="s">
        <v>118</v>
      </c>
    </row>
    <row r="37" customFormat="false" ht="115.5" hidden="false" customHeight="true" outlineLevel="0" collapsed="false">
      <c r="A37" s="12" t="s">
        <v>119</v>
      </c>
    </row>
    <row r="38" customFormat="false" ht="15" hidden="false" customHeight="true" outlineLevel="0" collapsed="false">
      <c r="A38" s="12"/>
    </row>
    <row r="39" customFormat="false" ht="29.25" hidden="false" customHeight="true" outlineLevel="0" collapsed="false">
      <c r="A39" s="4" t="s">
        <v>120</v>
      </c>
    </row>
    <row r="40" customFormat="false" ht="87" hidden="false" customHeight="true" outlineLevel="0" collapsed="false">
      <c r="A40" s="12" t="s">
        <v>121</v>
      </c>
    </row>
    <row r="41" customFormat="false" ht="15" hidden="false" customHeight="true" outlineLevel="0" collapsed="false">
      <c r="A41" s="12"/>
    </row>
    <row r="42" customFormat="false" ht="29.25" hidden="false" customHeight="true" outlineLevel="0" collapsed="false">
      <c r="A42" s="4" t="s">
        <v>122</v>
      </c>
    </row>
    <row r="43" customFormat="false" ht="115.5" hidden="false" customHeight="true" outlineLevel="0" collapsed="false">
      <c r="A43" s="12" t="s">
        <v>123</v>
      </c>
    </row>
    <row r="44" customFormat="false" ht="15" hidden="false" customHeight="true" outlineLevel="0" collapsed="false">
      <c r="A44" s="12"/>
    </row>
    <row r="45" customFormat="false" ht="29.25" hidden="false" customHeight="true" outlineLevel="0" collapsed="false">
      <c r="A45" s="4" t="s">
        <v>124</v>
      </c>
    </row>
    <row r="46" customFormat="false" ht="72" hidden="false" customHeight="true" outlineLevel="0" collapsed="false">
      <c r="A46" s="12" t="s">
        <v>125</v>
      </c>
    </row>
    <row r="47" customFormat="false" ht="15" hidden="false" customHeight="true" outlineLevel="0" collapsed="false">
      <c r="A47" s="12"/>
    </row>
    <row r="48" customFormat="false" ht="57.75" hidden="false" customHeight="true" outlineLevel="0" collapsed="false">
      <c r="A48" s="4" t="s">
        <v>126</v>
      </c>
    </row>
    <row r="49" customFormat="false" ht="57.75" hidden="false" customHeight="true" outlineLevel="0" collapsed="false">
      <c r="A49" s="12" t="s">
        <v>127</v>
      </c>
    </row>
    <row r="50" customFormat="false" ht="87" hidden="false" customHeight="true" outlineLevel="0" collapsed="false">
      <c r="A50" s="12" t="s">
        <v>128</v>
      </c>
    </row>
    <row r="51" customFormat="false" ht="15" hidden="false" customHeight="true" outlineLevel="0" collapsed="false">
      <c r="A51" s="12"/>
    </row>
    <row r="52" customFormat="false" ht="43.5" hidden="false" customHeight="true" outlineLevel="0" collapsed="false">
      <c r="A52" s="4" t="s">
        <v>129</v>
      </c>
    </row>
    <row r="53" customFormat="false" ht="129.75" hidden="false" customHeight="true" outlineLevel="0" collapsed="false">
      <c r="A53" s="12" t="s">
        <v>130</v>
      </c>
    </row>
    <row r="54" customFormat="false" ht="15" hidden="false" customHeight="true" outlineLevel="0" collapsed="false">
      <c r="A54" s="12"/>
    </row>
    <row r="55" customFormat="false" ht="87" hidden="false" customHeight="true" outlineLevel="0" collapsed="false">
      <c r="A55" s="4" t="s">
        <v>131</v>
      </c>
    </row>
    <row r="56" customFormat="false" ht="101.25" hidden="false" customHeight="true" outlineLevel="0" collapsed="false">
      <c r="A56" s="12" t="s">
        <v>132</v>
      </c>
    </row>
    <row r="58" customFormat="false" ht="14.25" hidden="false" customHeight="true" outlineLevel="0" collapsed="false">
      <c r="A58" s="13" t="s">
        <v>133</v>
      </c>
      <c r="B58" s="13"/>
      <c r="C58" s="13"/>
      <c r="D58" s="13"/>
    </row>
    <row r="59" customFormat="false" ht="14.25" hidden="false" customHeight="true" outlineLevel="0" collapsed="false">
      <c r="A59" s="14" t="s">
        <v>134</v>
      </c>
      <c r="B59" s="15" t="n">
        <f aca="false">COUNTIFS(E2:E21,"&gt;50")</f>
        <v>19</v>
      </c>
    </row>
    <row r="60" customFormat="false" ht="14.25" hidden="false" customHeight="true" outlineLevel="0" collapsed="false">
      <c r="A60" s="14" t="s">
        <v>135</v>
      </c>
      <c r="B60" s="16" t="n">
        <f aca="false">AVERAGEIFS(E2:E21,E2:E21,"&gt;60")</f>
        <v>82.2631578947368</v>
      </c>
    </row>
    <row r="61" customFormat="false" ht="14.25" hidden="false" customHeight="true" outlineLevel="0" collapsed="false">
      <c r="A61" s="14" t="s">
        <v>136</v>
      </c>
      <c r="B61" s="15" t="n">
        <f aca="false">SUMIFS(N2:N21,L2:L21,"East",K2:K21,"Keyboard")</f>
        <v>80349</v>
      </c>
    </row>
    <row r="62" customFormat="false" ht="14.25" hidden="false" customHeight="true" outlineLevel="0" collapsed="false">
      <c r="A62" s="14" t="s">
        <v>137</v>
      </c>
      <c r="B62" s="15" t="n">
        <f aca="false">COUNTIFS(K2:K21,"Laptop",L2:L21,"East")</f>
        <v>2</v>
      </c>
    </row>
    <row r="63" customFormat="false" ht="14.25" hidden="false" customHeight="true" outlineLevel="0" collapsed="false">
      <c r="A63" s="14" t="s">
        <v>138</v>
      </c>
      <c r="B63" s="16" t="n">
        <f aca="false">AVERAGEIFS(T2:T21,S2:S21,"IT")</f>
        <v>86240.8</v>
      </c>
    </row>
  </sheetData>
  <mergeCells count="1">
    <mergeCell ref="A58:D5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8593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5" min="3" style="0" width="12"/>
    <col collapsed="false" customWidth="true" hidden="false" outlineLevel="0" max="8" min="6" style="0" width="15"/>
    <col collapsed="false" customWidth="true" hidden="false" outlineLevel="0" max="10" min="9" style="0" width="16"/>
  </cols>
  <sheetData>
    <row r="1" customFormat="false" ht="31.5" hidden="false" customHeight="true" outlineLevel="0" collapsed="false">
      <c r="A1" s="17" t="s">
        <v>139</v>
      </c>
      <c r="B1" s="17"/>
      <c r="C1" s="17"/>
      <c r="D1" s="17"/>
      <c r="E1" s="17"/>
      <c r="F1" s="17"/>
      <c r="G1" s="17"/>
      <c r="H1" s="17"/>
      <c r="I1" s="17"/>
      <c r="J1" s="17"/>
    </row>
    <row r="2" customFormat="false" ht="18" hidden="false" customHeight="true" outlineLevel="0" collapsed="false">
      <c r="A2" s="18" t="s">
        <v>140</v>
      </c>
      <c r="B2" s="18"/>
      <c r="C2" s="18"/>
      <c r="D2" s="18"/>
      <c r="E2" s="18"/>
      <c r="F2" s="18"/>
      <c r="G2" s="18"/>
      <c r="H2" s="18"/>
      <c r="I2" s="18"/>
      <c r="J2" s="18"/>
    </row>
    <row r="4" customFormat="false" ht="21.75" hidden="false" customHeight="true" outlineLevel="0" collapsed="false">
      <c r="A4" s="19" t="s">
        <v>141</v>
      </c>
      <c r="B4" s="19"/>
      <c r="C4" s="19"/>
      <c r="D4" s="19"/>
      <c r="E4" s="19"/>
      <c r="F4" s="19"/>
      <c r="G4" s="19"/>
      <c r="H4" s="19"/>
      <c r="I4" s="19"/>
      <c r="J4" s="19"/>
    </row>
    <row r="5" customFormat="false" ht="18" hidden="false" customHeight="true" outlineLevel="0" collapsed="false">
      <c r="A5" s="20" t="s">
        <v>1</v>
      </c>
      <c r="B5" s="20" t="s">
        <v>2</v>
      </c>
      <c r="C5" s="20" t="s">
        <v>3</v>
      </c>
      <c r="D5" s="20" t="s">
        <v>4</v>
      </c>
      <c r="E5" s="20" t="s">
        <v>5</v>
      </c>
      <c r="F5" s="20" t="s">
        <v>142</v>
      </c>
      <c r="G5" s="20" t="s">
        <v>143</v>
      </c>
      <c r="H5" s="20" t="s">
        <v>144</v>
      </c>
      <c r="I5" s="20" t="s">
        <v>145</v>
      </c>
      <c r="J5" s="20" t="s">
        <v>146</v>
      </c>
    </row>
    <row r="6" customFormat="false" ht="15" hidden="false" customHeight="false" outlineLevel="0" collapsed="false">
      <c r="A6" s="21" t="n">
        <f aca="false">Sheet1!C2</f>
        <v>1001</v>
      </c>
      <c r="B6" s="21" t="str">
        <f aca="false">Sheet1!D2</f>
        <v>Student 1</v>
      </c>
      <c r="C6" s="21" t="n">
        <f aca="false">Sheet1!E2</f>
        <v>61</v>
      </c>
      <c r="D6" s="21" t="n">
        <f aca="false">Sheet1!F2</f>
        <v>48</v>
      </c>
      <c r="E6" s="21" t="n">
        <f aca="false">Sheet1!G2</f>
        <v>76</v>
      </c>
      <c r="F6" s="22" t="str">
        <f aca="false">IF(Sheet1!E2&gt;=90,"A",IF(Sheet1!E2&gt;=75,"B",IF(Sheet1!E2&gt;=60,"C","F")))</f>
        <v>C</v>
      </c>
      <c r="G6" s="22" t="str">
        <f aca="false">IF(Sheet1!F2&gt;=90,"A",IF(Sheet1!F2&gt;=75,"B",IF(Sheet1!F2&gt;=60,"C","F")))</f>
        <v>F</v>
      </c>
      <c r="H6" s="22" t="str">
        <f aca="false">IF(Sheet1!G2&gt;=90,"A",IF(Sheet1!G2&gt;=75,"B",IF(Sheet1!G2&gt;=60,"C","F")))</f>
        <v>B</v>
      </c>
      <c r="I6" s="22" t="str">
        <f aca="false">IF(AVERAGE(Sheet1!E2:G2)&gt;=90,"A",IF(AVERAGE(Sheet1!E2:G2)&gt;=75,"B",IF(AVERAGE(Sheet1!E2:G2)&gt;=60,"C","F")))</f>
        <v>C</v>
      </c>
      <c r="J6" s="22" t="str">
        <f aca="false">IF(Sheet1!N2&gt;30000,"10% Discount","No Discount")</f>
        <v>No Discount</v>
      </c>
    </row>
    <row r="7" customFormat="false" ht="15" hidden="false" customHeight="false" outlineLevel="0" collapsed="false">
      <c r="A7" s="23" t="n">
        <f aca="false">Sheet1!C3</f>
        <v>1002</v>
      </c>
      <c r="B7" s="23" t="str">
        <f aca="false">Sheet1!D3</f>
        <v>Student 2</v>
      </c>
      <c r="C7" s="23" t="n">
        <f aca="false">Sheet1!E3</f>
        <v>78</v>
      </c>
      <c r="D7" s="23" t="n">
        <f aca="false">Sheet1!F3</f>
        <v>76</v>
      </c>
      <c r="E7" s="23" t="n">
        <f aca="false">Sheet1!G3</f>
        <v>70</v>
      </c>
      <c r="F7" s="22" t="str">
        <f aca="false">IF(Sheet1!E3&gt;=90,"A",IF(Sheet1!E3&gt;=75,"B",IF(Sheet1!E3&gt;=60,"C","F")))</f>
        <v>B</v>
      </c>
      <c r="G7" s="22" t="str">
        <f aca="false">IF(Sheet1!F3&gt;=90,"A",IF(Sheet1!F3&gt;=75,"B",IF(Sheet1!F3&gt;=60,"C","F")))</f>
        <v>B</v>
      </c>
      <c r="H7" s="22" t="str">
        <f aca="false">IF(Sheet1!G3&gt;=90,"A",IF(Sheet1!G3&gt;=75,"B",IF(Sheet1!G3&gt;=60,"C","F")))</f>
        <v>C</v>
      </c>
      <c r="I7" s="22" t="str">
        <f aca="false">IF(AVERAGE(Sheet1!E3:G3)&gt;=90,"A",IF(AVERAGE(Sheet1!E3:G3)&gt;=75,"B",IF(AVERAGE(Sheet1!E3:G3)&gt;=60,"C","F")))</f>
        <v>C</v>
      </c>
      <c r="J7" s="22" t="str">
        <f aca="false">IF(Sheet1!N3&gt;30000,"10% Discount","No Discount")</f>
        <v>No Discount</v>
      </c>
    </row>
    <row r="8" customFormat="false" ht="15" hidden="false" customHeight="false" outlineLevel="0" collapsed="false">
      <c r="A8" s="21" t="n">
        <f aca="false">Sheet1!C4</f>
        <v>1003</v>
      </c>
      <c r="B8" s="21" t="str">
        <f aca="false">Sheet1!D4</f>
        <v>Student 3</v>
      </c>
      <c r="C8" s="21" t="n">
        <f aca="false">Sheet1!E4</f>
        <v>97</v>
      </c>
      <c r="D8" s="21" t="n">
        <f aca="false">Sheet1!F4</f>
        <v>60</v>
      </c>
      <c r="E8" s="21" t="n">
        <f aca="false">Sheet1!G4</f>
        <v>51</v>
      </c>
      <c r="F8" s="22" t="str">
        <f aca="false">IF(Sheet1!E4&gt;=90,"A",IF(Sheet1!E4&gt;=75,"B",IF(Sheet1!E4&gt;=60,"C","F")))</f>
        <v>A</v>
      </c>
      <c r="G8" s="22" t="str">
        <f aca="false">IF(Sheet1!F4&gt;=90,"A",IF(Sheet1!F4&gt;=75,"B",IF(Sheet1!F4&gt;=60,"C","F")))</f>
        <v>C</v>
      </c>
      <c r="H8" s="22" t="str">
        <f aca="false">IF(Sheet1!G4&gt;=90,"A",IF(Sheet1!G4&gt;=75,"B",IF(Sheet1!G4&gt;=60,"C","F")))</f>
        <v>F</v>
      </c>
      <c r="I8" s="22" t="str">
        <f aca="false">IF(AVERAGE(Sheet1!E4:G4)&gt;=90,"A",IF(AVERAGE(Sheet1!E4:G4)&gt;=75,"B",IF(AVERAGE(Sheet1!E4:G4)&gt;=60,"C","F")))</f>
        <v>C</v>
      </c>
      <c r="J8" s="22" t="str">
        <f aca="false">IF(Sheet1!N4&gt;30000,"10% Discount","No Discount")</f>
        <v>No Discount</v>
      </c>
    </row>
    <row r="9" customFormat="false" ht="15" hidden="false" customHeight="false" outlineLevel="0" collapsed="false">
      <c r="A9" s="23" t="n">
        <f aca="false">Sheet1!C5</f>
        <v>1004</v>
      </c>
      <c r="B9" s="23" t="str">
        <f aca="false">Sheet1!D5</f>
        <v>Student 4</v>
      </c>
      <c r="C9" s="23" t="n">
        <f aca="false">Sheet1!E5</f>
        <v>74</v>
      </c>
      <c r="D9" s="23" t="n">
        <f aca="false">Sheet1!F5</f>
        <v>55</v>
      </c>
      <c r="E9" s="23" t="n">
        <f aca="false">Sheet1!G5</f>
        <v>46</v>
      </c>
      <c r="F9" s="22" t="str">
        <f aca="false">IF(Sheet1!E5&gt;=90,"A",IF(Sheet1!E5&gt;=75,"B",IF(Sheet1!E5&gt;=60,"C","F")))</f>
        <v>C</v>
      </c>
      <c r="G9" s="22" t="str">
        <f aca="false">IF(Sheet1!F5&gt;=90,"A",IF(Sheet1!F5&gt;=75,"B",IF(Sheet1!F5&gt;=60,"C","F")))</f>
        <v>F</v>
      </c>
      <c r="H9" s="22" t="str">
        <f aca="false">IF(Sheet1!G5&gt;=90,"A",IF(Sheet1!G5&gt;=75,"B",IF(Sheet1!G5&gt;=60,"C","F")))</f>
        <v>F</v>
      </c>
      <c r="I9" s="22" t="str">
        <f aca="false">IF(AVERAGE(Sheet1!E5:G5)&gt;=90,"A",IF(AVERAGE(Sheet1!E5:G5)&gt;=75,"B",IF(AVERAGE(Sheet1!E5:G5)&gt;=60,"C","F")))</f>
        <v>F</v>
      </c>
      <c r="J9" s="22" t="str">
        <f aca="false">IF(Sheet1!N5&gt;30000,"10% Discount","No Discount")</f>
        <v>No Discount</v>
      </c>
    </row>
    <row r="10" customFormat="false" ht="15" hidden="false" customHeight="false" outlineLevel="0" collapsed="false">
      <c r="A10" s="21" t="n">
        <f aca="false">Sheet1!C6</f>
        <v>1005</v>
      </c>
      <c r="B10" s="21" t="str">
        <f aca="false">Sheet1!D6</f>
        <v>Student 5</v>
      </c>
      <c r="C10" s="21" t="n">
        <f aca="false">Sheet1!E6</f>
        <v>68</v>
      </c>
      <c r="D10" s="21" t="n">
        <f aca="false">Sheet1!F6</f>
        <v>74</v>
      </c>
      <c r="E10" s="21" t="n">
        <f aca="false">Sheet1!G6</f>
        <v>84</v>
      </c>
      <c r="F10" s="22" t="str">
        <f aca="false">IF(Sheet1!E6&gt;=90,"A",IF(Sheet1!E6&gt;=75,"B",IF(Sheet1!E6&gt;=60,"C","F")))</f>
        <v>C</v>
      </c>
      <c r="G10" s="22" t="str">
        <f aca="false">IF(Sheet1!F6&gt;=90,"A",IF(Sheet1!F6&gt;=75,"B",IF(Sheet1!F6&gt;=60,"C","F")))</f>
        <v>C</v>
      </c>
      <c r="H10" s="22" t="str">
        <f aca="false">IF(Sheet1!G6&gt;=90,"A",IF(Sheet1!G6&gt;=75,"B",IF(Sheet1!G6&gt;=60,"C","F")))</f>
        <v>B</v>
      </c>
      <c r="I10" s="22" t="str">
        <f aca="false">IF(AVERAGE(Sheet1!E6:G6)&gt;=90,"A",IF(AVERAGE(Sheet1!E6:G6)&gt;=75,"B",IF(AVERAGE(Sheet1!E6:G6)&gt;=60,"C","F")))</f>
        <v>B</v>
      </c>
      <c r="J10" s="22" t="str">
        <f aca="false">IF(Sheet1!N6&gt;30000,"10% Discount","No Discount")</f>
        <v>10% Discount</v>
      </c>
    </row>
    <row r="11" customFormat="false" ht="15" hidden="false" customHeight="false" outlineLevel="0" collapsed="false">
      <c r="A11" s="23" t="n">
        <f aca="false">Sheet1!C7</f>
        <v>1006</v>
      </c>
      <c r="B11" s="23" t="str">
        <f aca="false">Sheet1!D7</f>
        <v>Student 6</v>
      </c>
      <c r="C11" s="23" t="n">
        <f aca="false">Sheet1!E7</f>
        <v>80</v>
      </c>
      <c r="D11" s="23" t="n">
        <f aca="false">Sheet1!F7</f>
        <v>70</v>
      </c>
      <c r="E11" s="23" t="n">
        <f aca="false">Sheet1!G7</f>
        <v>65</v>
      </c>
      <c r="F11" s="22" t="str">
        <f aca="false">IF(Sheet1!E7&gt;=90,"A",IF(Sheet1!E7&gt;=75,"B",IF(Sheet1!E7&gt;=60,"C","F")))</f>
        <v>B</v>
      </c>
      <c r="G11" s="22" t="str">
        <f aca="false">IF(Sheet1!F7&gt;=90,"A",IF(Sheet1!F7&gt;=75,"B",IF(Sheet1!F7&gt;=60,"C","F")))</f>
        <v>C</v>
      </c>
      <c r="H11" s="22" t="str">
        <f aca="false">IF(Sheet1!G7&gt;=90,"A",IF(Sheet1!G7&gt;=75,"B",IF(Sheet1!G7&gt;=60,"C","F")))</f>
        <v>C</v>
      </c>
      <c r="I11" s="22" t="str">
        <f aca="false">IF(AVERAGE(Sheet1!E7:G7)&gt;=90,"A",IF(AVERAGE(Sheet1!E7:G7)&gt;=75,"B",IF(AVERAGE(Sheet1!E7:G7)&gt;=60,"C","F")))</f>
        <v>C</v>
      </c>
      <c r="J11" s="22" t="str">
        <f aca="false">IF(Sheet1!N7&gt;30000,"10% Discount","No Discount")</f>
        <v>No Discount</v>
      </c>
    </row>
    <row r="12" customFormat="false" ht="15" hidden="false" customHeight="false" outlineLevel="0" collapsed="false">
      <c r="A12" s="21" t="n">
        <f aca="false">Sheet1!C8</f>
        <v>1007</v>
      </c>
      <c r="B12" s="21" t="str">
        <f aca="false">Sheet1!D8</f>
        <v>Student 7</v>
      </c>
      <c r="C12" s="21" t="n">
        <f aca="false">Sheet1!E8</f>
        <v>75</v>
      </c>
      <c r="D12" s="21" t="n">
        <f aca="false">Sheet1!F8</f>
        <v>47</v>
      </c>
      <c r="E12" s="21" t="n">
        <f aca="false">Sheet1!G8</f>
        <v>78</v>
      </c>
      <c r="F12" s="22" t="str">
        <f aca="false">IF(Sheet1!E8&gt;=90,"A",IF(Sheet1!E8&gt;=75,"B",IF(Sheet1!E8&gt;=60,"C","F")))</f>
        <v>B</v>
      </c>
      <c r="G12" s="22" t="str">
        <f aca="false">IF(Sheet1!F8&gt;=90,"A",IF(Sheet1!F8&gt;=75,"B",IF(Sheet1!F8&gt;=60,"C","F")))</f>
        <v>F</v>
      </c>
      <c r="H12" s="22" t="str">
        <f aca="false">IF(Sheet1!G8&gt;=90,"A",IF(Sheet1!G8&gt;=75,"B",IF(Sheet1!G8&gt;=60,"C","F")))</f>
        <v>B</v>
      </c>
      <c r="I12" s="22" t="str">
        <f aca="false">IF(AVERAGE(Sheet1!E8:G8)&gt;=90,"A",IF(AVERAGE(Sheet1!E8:G8)&gt;=75,"B",IF(AVERAGE(Sheet1!E8:G8)&gt;=60,"C","F")))</f>
        <v>C</v>
      </c>
      <c r="J12" s="22" t="str">
        <f aca="false">IF(Sheet1!N8&gt;30000,"10% Discount","No Discount")</f>
        <v>10% Discount</v>
      </c>
    </row>
    <row r="13" customFormat="false" ht="15" hidden="false" customHeight="false" outlineLevel="0" collapsed="false">
      <c r="A13" s="23" t="n">
        <f aca="false">Sheet1!C9</f>
        <v>1008</v>
      </c>
      <c r="B13" s="23" t="str">
        <f aca="false">Sheet1!D9</f>
        <v>Student 8</v>
      </c>
      <c r="C13" s="23" t="n">
        <f aca="false">Sheet1!E9</f>
        <v>94</v>
      </c>
      <c r="D13" s="23" t="n">
        <f aca="false">Sheet1!F9</f>
        <v>67</v>
      </c>
      <c r="E13" s="23" t="n">
        <f aca="false">Sheet1!G9</f>
        <v>64</v>
      </c>
      <c r="F13" s="22" t="str">
        <f aca="false">IF(Sheet1!E9&gt;=90,"A",IF(Sheet1!E9&gt;=75,"B",IF(Sheet1!E9&gt;=60,"C","F")))</f>
        <v>A</v>
      </c>
      <c r="G13" s="22" t="str">
        <f aca="false">IF(Sheet1!F9&gt;=90,"A",IF(Sheet1!F9&gt;=75,"B",IF(Sheet1!F9&gt;=60,"C","F")))</f>
        <v>C</v>
      </c>
      <c r="H13" s="22" t="str">
        <f aca="false">IF(Sheet1!G9&gt;=90,"A",IF(Sheet1!G9&gt;=75,"B",IF(Sheet1!G9&gt;=60,"C","F")))</f>
        <v>C</v>
      </c>
      <c r="I13" s="22" t="str">
        <f aca="false">IF(AVERAGE(Sheet1!E9:G9)&gt;=90,"A",IF(AVERAGE(Sheet1!E9:G9)&gt;=75,"B",IF(AVERAGE(Sheet1!E9:G9)&gt;=60,"C","F")))</f>
        <v>B</v>
      </c>
      <c r="J13" s="22" t="str">
        <f aca="false">IF(Sheet1!N9&gt;30000,"10% Discount","No Discount")</f>
        <v>10% Discount</v>
      </c>
    </row>
    <row r="14" customFormat="false" ht="15" hidden="false" customHeight="false" outlineLevel="0" collapsed="false">
      <c r="A14" s="21" t="n">
        <f aca="false">Sheet1!C10</f>
        <v>1009</v>
      </c>
      <c r="B14" s="21" t="str">
        <f aca="false">Sheet1!D10</f>
        <v>Student 9</v>
      </c>
      <c r="C14" s="21" t="n">
        <f aca="false">Sheet1!E10</f>
        <v>41</v>
      </c>
      <c r="D14" s="21" t="n">
        <f aca="false">Sheet1!F10</f>
        <v>75</v>
      </c>
      <c r="E14" s="21" t="n">
        <f aca="false">Sheet1!G10</f>
        <v>56</v>
      </c>
      <c r="F14" s="22" t="str">
        <f aca="false">IF(Sheet1!E10&gt;=90,"A",IF(Sheet1!E10&gt;=75,"B",IF(Sheet1!E10&gt;=60,"C","F")))</f>
        <v>F</v>
      </c>
      <c r="G14" s="22" t="str">
        <f aca="false">IF(Sheet1!F10&gt;=90,"A",IF(Sheet1!F10&gt;=75,"B",IF(Sheet1!F10&gt;=60,"C","F")))</f>
        <v>B</v>
      </c>
      <c r="H14" s="22" t="str">
        <f aca="false">IF(Sheet1!G10&gt;=90,"A",IF(Sheet1!G10&gt;=75,"B",IF(Sheet1!G10&gt;=60,"C","F")))</f>
        <v>F</v>
      </c>
      <c r="I14" s="22" t="str">
        <f aca="false">IF(AVERAGE(Sheet1!E10:G10)&gt;=90,"A",IF(AVERAGE(Sheet1!E10:G10)&gt;=75,"B",IF(AVERAGE(Sheet1!E10:G10)&gt;=60,"C","F")))</f>
        <v>F</v>
      </c>
      <c r="J14" s="22" t="str">
        <f aca="false">IF(Sheet1!N10&gt;30000,"10% Discount","No Discount")</f>
        <v>No Discount</v>
      </c>
    </row>
    <row r="15" customFormat="false" ht="15" hidden="false" customHeight="false" outlineLevel="0" collapsed="false">
      <c r="A15" s="23" t="n">
        <f aca="false">Sheet1!C11</f>
        <v>1010</v>
      </c>
      <c r="B15" s="23" t="str">
        <f aca="false">Sheet1!D11</f>
        <v>Student 10</v>
      </c>
      <c r="C15" s="23" t="n">
        <f aca="false">Sheet1!E11</f>
        <v>98</v>
      </c>
      <c r="D15" s="23" t="n">
        <f aca="false">Sheet1!F11</f>
        <v>54</v>
      </c>
      <c r="E15" s="23" t="n">
        <f aca="false">Sheet1!G11</f>
        <v>58</v>
      </c>
      <c r="F15" s="22" t="str">
        <f aca="false">IF(Sheet1!E11&gt;=90,"A",IF(Sheet1!E11&gt;=75,"B",IF(Sheet1!E11&gt;=60,"C","F")))</f>
        <v>A</v>
      </c>
      <c r="G15" s="22" t="str">
        <f aca="false">IF(Sheet1!F11&gt;=90,"A",IF(Sheet1!F11&gt;=75,"B",IF(Sheet1!F11&gt;=60,"C","F")))</f>
        <v>F</v>
      </c>
      <c r="H15" s="22" t="str">
        <f aca="false">IF(Sheet1!G11&gt;=90,"A",IF(Sheet1!G11&gt;=75,"B",IF(Sheet1!G11&gt;=60,"C","F")))</f>
        <v>F</v>
      </c>
      <c r="I15" s="22" t="str">
        <f aca="false">IF(AVERAGE(Sheet1!E11:G11)&gt;=90,"A",IF(AVERAGE(Sheet1!E11:G11)&gt;=75,"B",IF(AVERAGE(Sheet1!E11:G11)&gt;=60,"C","F")))</f>
        <v>C</v>
      </c>
      <c r="J15" s="22" t="str">
        <f aca="false">IF(Sheet1!N11&gt;30000,"10% Discount","No Discount")</f>
        <v>10% Discount</v>
      </c>
    </row>
    <row r="16" customFormat="false" ht="15" hidden="false" customHeight="false" outlineLevel="0" collapsed="false">
      <c r="A16" s="21" t="n">
        <f aca="false">Sheet1!C12</f>
        <v>1011</v>
      </c>
      <c r="B16" s="21" t="str">
        <f aca="false">Sheet1!D12</f>
        <v>Student 11</v>
      </c>
      <c r="C16" s="21" t="n">
        <f aca="false">Sheet1!E12</f>
        <v>73</v>
      </c>
      <c r="D16" s="21" t="n">
        <f aca="false">Sheet1!F12</f>
        <v>79</v>
      </c>
      <c r="E16" s="21" t="n">
        <f aca="false">Sheet1!G12</f>
        <v>53</v>
      </c>
      <c r="F16" s="22" t="str">
        <f aca="false">IF(Sheet1!E12&gt;=90,"A",IF(Sheet1!E12&gt;=75,"B",IF(Sheet1!E12&gt;=60,"C","F")))</f>
        <v>C</v>
      </c>
      <c r="G16" s="22" t="str">
        <f aca="false">IF(Sheet1!F12&gt;=90,"A",IF(Sheet1!F12&gt;=75,"B",IF(Sheet1!F12&gt;=60,"C","F")))</f>
        <v>B</v>
      </c>
      <c r="H16" s="22" t="str">
        <f aca="false">IF(Sheet1!G12&gt;=90,"A",IF(Sheet1!G12&gt;=75,"B",IF(Sheet1!G12&gt;=60,"C","F")))</f>
        <v>F</v>
      </c>
      <c r="I16" s="22" t="str">
        <f aca="false">IF(AVERAGE(Sheet1!E12:G12)&gt;=90,"A",IF(AVERAGE(Sheet1!E12:G12)&gt;=75,"B",IF(AVERAGE(Sheet1!E12:G12)&gt;=60,"C","F")))</f>
        <v>C</v>
      </c>
      <c r="J16" s="22" t="str">
        <f aca="false">IF(Sheet1!N12&gt;30000,"10% Discount","No Discount")</f>
        <v>10% Discount</v>
      </c>
    </row>
    <row r="17" customFormat="false" ht="15" hidden="false" customHeight="false" outlineLevel="0" collapsed="false">
      <c r="A17" s="23" t="n">
        <f aca="false">Sheet1!C13</f>
        <v>1012</v>
      </c>
      <c r="B17" s="23" t="str">
        <f aca="false">Sheet1!D13</f>
        <v>Student 12</v>
      </c>
      <c r="C17" s="23" t="n">
        <f aca="false">Sheet1!E13</f>
        <v>85</v>
      </c>
      <c r="D17" s="23" t="n">
        <f aca="false">Sheet1!F13</f>
        <v>89</v>
      </c>
      <c r="E17" s="23" t="n">
        <f aca="false">Sheet1!G13</f>
        <v>79</v>
      </c>
      <c r="F17" s="22" t="str">
        <f aca="false">IF(Sheet1!E13&gt;=90,"A",IF(Sheet1!E13&gt;=75,"B",IF(Sheet1!E13&gt;=60,"C","F")))</f>
        <v>B</v>
      </c>
      <c r="G17" s="22" t="str">
        <f aca="false">IF(Sheet1!F13&gt;=90,"A",IF(Sheet1!F13&gt;=75,"B",IF(Sheet1!F13&gt;=60,"C","F")))</f>
        <v>B</v>
      </c>
      <c r="H17" s="22" t="str">
        <f aca="false">IF(Sheet1!G13&gt;=90,"A",IF(Sheet1!G13&gt;=75,"B",IF(Sheet1!G13&gt;=60,"C","F")))</f>
        <v>B</v>
      </c>
      <c r="I17" s="22" t="str">
        <f aca="false">IF(AVERAGE(Sheet1!E13:G13)&gt;=90,"A",IF(AVERAGE(Sheet1!E13:G13)&gt;=75,"B",IF(AVERAGE(Sheet1!E13:G13)&gt;=60,"C","F")))</f>
        <v>B</v>
      </c>
      <c r="J17" s="22" t="str">
        <f aca="false">IF(Sheet1!N13&gt;30000,"10% Discount","No Discount")</f>
        <v>10% Discount</v>
      </c>
    </row>
    <row r="18" customFormat="false" ht="15" hidden="false" customHeight="false" outlineLevel="0" collapsed="false">
      <c r="A18" s="21" t="n">
        <f aca="false">Sheet1!C14</f>
        <v>1013</v>
      </c>
      <c r="B18" s="21" t="str">
        <f aca="false">Sheet1!D14</f>
        <v>Student 13</v>
      </c>
      <c r="C18" s="21" t="n">
        <f aca="false">Sheet1!E14</f>
        <v>98</v>
      </c>
      <c r="D18" s="21" t="n">
        <f aca="false">Sheet1!F14</f>
        <v>90</v>
      </c>
      <c r="E18" s="21" t="n">
        <f aca="false">Sheet1!G14</f>
        <v>97</v>
      </c>
      <c r="F18" s="22" t="str">
        <f aca="false">IF(Sheet1!E14&gt;=90,"A",IF(Sheet1!E14&gt;=75,"B",IF(Sheet1!E14&gt;=60,"C","F")))</f>
        <v>A</v>
      </c>
      <c r="G18" s="22" t="str">
        <f aca="false">IF(Sheet1!F14&gt;=90,"A",IF(Sheet1!F14&gt;=75,"B",IF(Sheet1!F14&gt;=60,"C","F")))</f>
        <v>A</v>
      </c>
      <c r="H18" s="22" t="str">
        <f aca="false">IF(Sheet1!G14&gt;=90,"A",IF(Sheet1!G14&gt;=75,"B",IF(Sheet1!G14&gt;=60,"C","F")))</f>
        <v>A</v>
      </c>
      <c r="I18" s="22" t="str">
        <f aca="false">IF(AVERAGE(Sheet1!E14:G14)&gt;=90,"A",IF(AVERAGE(Sheet1!E14:G14)&gt;=75,"B",IF(AVERAGE(Sheet1!E14:G14)&gt;=60,"C","F")))</f>
        <v>A</v>
      </c>
      <c r="J18" s="22" t="str">
        <f aca="false">IF(Sheet1!N14&gt;30000,"10% Discount","No Discount")</f>
        <v>No Discount</v>
      </c>
    </row>
    <row r="19" customFormat="false" ht="15" hidden="false" customHeight="false" outlineLevel="0" collapsed="false">
      <c r="A19" s="23" t="n">
        <f aca="false">Sheet1!C15</f>
        <v>1014</v>
      </c>
      <c r="B19" s="23" t="str">
        <f aca="false">Sheet1!D15</f>
        <v>Student 14</v>
      </c>
      <c r="C19" s="23" t="n">
        <f aca="false">Sheet1!E15</f>
        <v>93</v>
      </c>
      <c r="D19" s="23" t="n">
        <f aca="false">Sheet1!F15</f>
        <v>40</v>
      </c>
      <c r="E19" s="23" t="n">
        <f aca="false">Sheet1!G15</f>
        <v>44</v>
      </c>
      <c r="F19" s="22" t="str">
        <f aca="false">IF(Sheet1!E15&gt;=90,"A",IF(Sheet1!E15&gt;=75,"B",IF(Sheet1!E15&gt;=60,"C","F")))</f>
        <v>A</v>
      </c>
      <c r="G19" s="22" t="str">
        <f aca="false">IF(Sheet1!F15&gt;=90,"A",IF(Sheet1!F15&gt;=75,"B",IF(Sheet1!F15&gt;=60,"C","F")))</f>
        <v>F</v>
      </c>
      <c r="H19" s="22" t="str">
        <f aca="false">IF(Sheet1!G15&gt;=90,"A",IF(Sheet1!G15&gt;=75,"B",IF(Sheet1!G15&gt;=60,"C","F")))</f>
        <v>F</v>
      </c>
      <c r="I19" s="22" t="str">
        <f aca="false">IF(AVERAGE(Sheet1!E15:G15)&gt;=90,"A",IF(AVERAGE(Sheet1!E15:G15)&gt;=75,"B",IF(AVERAGE(Sheet1!E15:G15)&gt;=60,"C","F")))</f>
        <v>F</v>
      </c>
      <c r="J19" s="22" t="str">
        <f aca="false">IF(Sheet1!N15&gt;30000,"10% Discount","No Discount")</f>
        <v>No Discount</v>
      </c>
    </row>
    <row r="20" customFormat="false" ht="15" hidden="false" customHeight="false" outlineLevel="0" collapsed="false">
      <c r="A20" s="21" t="n">
        <f aca="false">Sheet1!C16</f>
        <v>1015</v>
      </c>
      <c r="B20" s="21" t="str">
        <f aca="false">Sheet1!D16</f>
        <v>Student 15</v>
      </c>
      <c r="C20" s="21" t="n">
        <f aca="false">Sheet1!E16</f>
        <v>70</v>
      </c>
      <c r="D20" s="21" t="n">
        <f aca="false">Sheet1!F16</f>
        <v>51</v>
      </c>
      <c r="E20" s="21" t="n">
        <f aca="false">Sheet1!G16</f>
        <v>75</v>
      </c>
      <c r="F20" s="22" t="str">
        <f aca="false">IF(Sheet1!E16&gt;=90,"A",IF(Sheet1!E16&gt;=75,"B",IF(Sheet1!E16&gt;=60,"C","F")))</f>
        <v>C</v>
      </c>
      <c r="G20" s="22" t="str">
        <f aca="false">IF(Sheet1!F16&gt;=90,"A",IF(Sheet1!F16&gt;=75,"B",IF(Sheet1!F16&gt;=60,"C","F")))</f>
        <v>F</v>
      </c>
      <c r="H20" s="22" t="str">
        <f aca="false">IF(Sheet1!G16&gt;=90,"A",IF(Sheet1!G16&gt;=75,"B",IF(Sheet1!G16&gt;=60,"C","F")))</f>
        <v>B</v>
      </c>
      <c r="I20" s="22" t="str">
        <f aca="false">IF(AVERAGE(Sheet1!E16:G16)&gt;=90,"A",IF(AVERAGE(Sheet1!E16:G16)&gt;=75,"B",IF(AVERAGE(Sheet1!E16:G16)&gt;=60,"C","F")))</f>
        <v>C</v>
      </c>
      <c r="J20" s="22" t="str">
        <f aca="false">IF(Sheet1!N16&gt;30000,"10% Discount","No Discount")</f>
        <v>No Discount</v>
      </c>
    </row>
    <row r="21" customFormat="false" ht="15" hidden="false" customHeight="false" outlineLevel="0" collapsed="false">
      <c r="A21" s="23" t="n">
        <f aca="false">Sheet1!C17</f>
        <v>1016</v>
      </c>
      <c r="B21" s="23" t="str">
        <f aca="false">Sheet1!D17</f>
        <v>Student 16</v>
      </c>
      <c r="C21" s="23" t="n">
        <f aca="false">Sheet1!E17</f>
        <v>98</v>
      </c>
      <c r="D21" s="23" t="n">
        <f aca="false">Sheet1!F17</f>
        <v>77</v>
      </c>
      <c r="E21" s="23" t="n">
        <f aca="false">Sheet1!G17</f>
        <v>60</v>
      </c>
      <c r="F21" s="22" t="str">
        <f aca="false">IF(Sheet1!E17&gt;=90,"A",IF(Sheet1!E17&gt;=75,"B",IF(Sheet1!E17&gt;=60,"C","F")))</f>
        <v>A</v>
      </c>
      <c r="G21" s="22" t="str">
        <f aca="false">IF(Sheet1!F17&gt;=90,"A",IF(Sheet1!F17&gt;=75,"B",IF(Sheet1!F17&gt;=60,"C","F")))</f>
        <v>B</v>
      </c>
      <c r="H21" s="22" t="str">
        <f aca="false">IF(Sheet1!G17&gt;=90,"A",IF(Sheet1!G17&gt;=75,"B",IF(Sheet1!G17&gt;=60,"C","F")))</f>
        <v>C</v>
      </c>
      <c r="I21" s="22" t="str">
        <f aca="false">IF(AVERAGE(Sheet1!E17:G17)&gt;=90,"A",IF(AVERAGE(Sheet1!E17:G17)&gt;=75,"B",IF(AVERAGE(Sheet1!E17:G17)&gt;=60,"C","F")))</f>
        <v>B</v>
      </c>
      <c r="J21" s="22" t="str">
        <f aca="false">IF(Sheet1!N17&gt;30000,"10% Discount","No Discount")</f>
        <v>No Discount</v>
      </c>
    </row>
    <row r="22" customFormat="false" ht="15" hidden="false" customHeight="false" outlineLevel="0" collapsed="false">
      <c r="A22" s="21" t="n">
        <f aca="false">Sheet1!C18</f>
        <v>1017</v>
      </c>
      <c r="B22" s="21" t="str">
        <f aca="false">Sheet1!D18</f>
        <v>Student 17</v>
      </c>
      <c r="C22" s="21" t="n">
        <f aca="false">Sheet1!E18</f>
        <v>66</v>
      </c>
      <c r="D22" s="21" t="n">
        <f aca="false">Sheet1!F18</f>
        <v>59</v>
      </c>
      <c r="E22" s="21" t="n">
        <f aca="false">Sheet1!G18</f>
        <v>40</v>
      </c>
      <c r="F22" s="22" t="str">
        <f aca="false">IF(Sheet1!E18&gt;=90,"A",IF(Sheet1!E18&gt;=75,"B",IF(Sheet1!E18&gt;=60,"C","F")))</f>
        <v>C</v>
      </c>
      <c r="G22" s="22" t="str">
        <f aca="false">IF(Sheet1!F18&gt;=90,"A",IF(Sheet1!F18&gt;=75,"B",IF(Sheet1!F18&gt;=60,"C","F")))</f>
        <v>F</v>
      </c>
      <c r="H22" s="22" t="str">
        <f aca="false">IF(Sheet1!G18&gt;=90,"A",IF(Sheet1!G18&gt;=75,"B",IF(Sheet1!G18&gt;=60,"C","F")))</f>
        <v>F</v>
      </c>
      <c r="I22" s="22" t="str">
        <f aca="false">IF(AVERAGE(Sheet1!E18:G18)&gt;=90,"A",IF(AVERAGE(Sheet1!E18:G18)&gt;=75,"B",IF(AVERAGE(Sheet1!E18:G18)&gt;=60,"C","F")))</f>
        <v>F</v>
      </c>
      <c r="J22" s="22" t="str">
        <f aca="false">IF(Sheet1!N18&gt;30000,"10% Discount","No Discount")</f>
        <v>10% Discount</v>
      </c>
    </row>
    <row r="23" customFormat="false" ht="15" hidden="false" customHeight="false" outlineLevel="0" collapsed="false">
      <c r="A23" s="23" t="n">
        <f aca="false">Sheet1!C19</f>
        <v>1018</v>
      </c>
      <c r="B23" s="23" t="str">
        <f aca="false">Sheet1!D19</f>
        <v>Student 18</v>
      </c>
      <c r="C23" s="23" t="n">
        <f aca="false">Sheet1!E19</f>
        <v>82</v>
      </c>
      <c r="D23" s="23" t="n">
        <f aca="false">Sheet1!F19</f>
        <v>48</v>
      </c>
      <c r="E23" s="23" t="n">
        <f aca="false">Sheet1!G19</f>
        <v>79</v>
      </c>
      <c r="F23" s="22" t="str">
        <f aca="false">IF(Sheet1!E19&gt;=90,"A",IF(Sheet1!E19&gt;=75,"B",IF(Sheet1!E19&gt;=60,"C","F")))</f>
        <v>B</v>
      </c>
      <c r="G23" s="22" t="str">
        <f aca="false">IF(Sheet1!F19&gt;=90,"A",IF(Sheet1!F19&gt;=75,"B",IF(Sheet1!F19&gt;=60,"C","F")))</f>
        <v>F</v>
      </c>
      <c r="H23" s="22" t="str">
        <f aca="false">IF(Sheet1!G19&gt;=90,"A",IF(Sheet1!G19&gt;=75,"B",IF(Sheet1!G19&gt;=60,"C","F")))</f>
        <v>B</v>
      </c>
      <c r="I23" s="22" t="str">
        <f aca="false">IF(AVERAGE(Sheet1!E19:G19)&gt;=90,"A",IF(AVERAGE(Sheet1!E19:G19)&gt;=75,"B",IF(AVERAGE(Sheet1!E19:G19)&gt;=60,"C","F")))</f>
        <v>C</v>
      </c>
      <c r="J23" s="22" t="str">
        <f aca="false">IF(Sheet1!N19&gt;30000,"10% Discount","No Discount")</f>
        <v>10% Discount</v>
      </c>
    </row>
    <row r="24" customFormat="false" ht="15" hidden="false" customHeight="false" outlineLevel="0" collapsed="false">
      <c r="A24" s="21" t="n">
        <f aca="false">Sheet1!C20</f>
        <v>1019</v>
      </c>
      <c r="B24" s="21" t="str">
        <f aca="false">Sheet1!D20</f>
        <v>Student 19</v>
      </c>
      <c r="C24" s="21" t="n">
        <f aca="false">Sheet1!E20</f>
        <v>90</v>
      </c>
      <c r="D24" s="21" t="n">
        <f aca="false">Sheet1!F20</f>
        <v>78</v>
      </c>
      <c r="E24" s="21" t="n">
        <f aca="false">Sheet1!G20</f>
        <v>60</v>
      </c>
      <c r="F24" s="22" t="str">
        <f aca="false">IF(Sheet1!E20&gt;=90,"A",IF(Sheet1!E20&gt;=75,"B",IF(Sheet1!E20&gt;=60,"C","F")))</f>
        <v>A</v>
      </c>
      <c r="G24" s="22" t="str">
        <f aca="false">IF(Sheet1!F20&gt;=90,"A",IF(Sheet1!F20&gt;=75,"B",IF(Sheet1!F20&gt;=60,"C","F")))</f>
        <v>B</v>
      </c>
      <c r="H24" s="22" t="str">
        <f aca="false">IF(Sheet1!G20&gt;=90,"A",IF(Sheet1!G20&gt;=75,"B",IF(Sheet1!G20&gt;=60,"C","F")))</f>
        <v>C</v>
      </c>
      <c r="I24" s="22" t="str">
        <f aca="false">IF(AVERAGE(Sheet1!E20:G20)&gt;=90,"A",IF(AVERAGE(Sheet1!E20:G20)&gt;=75,"B",IF(AVERAGE(Sheet1!E20:G20)&gt;=60,"C","F")))</f>
        <v>B</v>
      </c>
      <c r="J24" s="22" t="str">
        <f aca="false">IF(Sheet1!N20&gt;30000,"10% Discount","No Discount")</f>
        <v>10% Discount</v>
      </c>
    </row>
    <row r="25" customFormat="false" ht="15" hidden="false" customHeight="false" outlineLevel="0" collapsed="false">
      <c r="A25" s="23" t="n">
        <f aca="false">Sheet1!C21</f>
        <v>1020</v>
      </c>
      <c r="B25" s="23" t="str">
        <f aca="false">Sheet1!D21</f>
        <v>Student 20</v>
      </c>
      <c r="C25" s="23" t="n">
        <f aca="false">Sheet1!E21</f>
        <v>83</v>
      </c>
      <c r="D25" s="23" t="n">
        <f aca="false">Sheet1!F21</f>
        <v>92</v>
      </c>
      <c r="E25" s="23" t="n">
        <f aca="false">Sheet1!G21</f>
        <v>55</v>
      </c>
      <c r="F25" s="22" t="str">
        <f aca="false">IF(Sheet1!E21&gt;=90,"A",IF(Sheet1!E21&gt;=75,"B",IF(Sheet1!E21&gt;=60,"C","F")))</f>
        <v>B</v>
      </c>
      <c r="G25" s="22" t="str">
        <f aca="false">IF(Sheet1!F21&gt;=90,"A",IF(Sheet1!F21&gt;=75,"B",IF(Sheet1!F21&gt;=60,"C","F")))</f>
        <v>A</v>
      </c>
      <c r="H25" s="22" t="str">
        <f aca="false">IF(Sheet1!G21&gt;=90,"A",IF(Sheet1!G21&gt;=75,"B",IF(Sheet1!G21&gt;=60,"C","F")))</f>
        <v>F</v>
      </c>
      <c r="I25" s="22" t="str">
        <f aca="false">IF(AVERAGE(Sheet1!E21:G21)&gt;=90,"A",IF(AVERAGE(Sheet1!E21:G21)&gt;=75,"B",IF(AVERAGE(Sheet1!E21:G21)&gt;=60,"C","F")))</f>
        <v>B</v>
      </c>
      <c r="J25" s="22" t="str">
        <f aca="false">IF(Sheet1!N21&gt;30000,"10% Discount","No Discount")</f>
        <v>10% Discount</v>
      </c>
    </row>
    <row r="27" customFormat="false" ht="21.75" hidden="false" customHeight="true" outlineLevel="0" collapsed="false">
      <c r="A27" s="19" t="s">
        <v>147</v>
      </c>
      <c r="B27" s="19"/>
      <c r="C27" s="19"/>
      <c r="D27" s="19"/>
      <c r="E27" s="19"/>
      <c r="F27" s="19"/>
      <c r="G27" s="19"/>
      <c r="H27" s="19"/>
      <c r="I27" s="19"/>
      <c r="J27" s="19"/>
    </row>
    <row r="28" customFormat="false" ht="18" hidden="false" customHeight="true" outlineLevel="0" collapsed="false">
      <c r="A28" s="20" t="s">
        <v>148</v>
      </c>
      <c r="B28" s="20" t="s">
        <v>149</v>
      </c>
      <c r="C28" s="20" t="s">
        <v>150</v>
      </c>
      <c r="D28" s="20" t="s">
        <v>148</v>
      </c>
      <c r="E28" s="20" t="s">
        <v>149</v>
      </c>
      <c r="F28" s="20" t="s">
        <v>150</v>
      </c>
      <c r="G28" s="24" t="s">
        <v>151</v>
      </c>
      <c r="H28" s="24"/>
      <c r="I28" s="24"/>
      <c r="J28" s="24"/>
    </row>
    <row r="29" customFormat="false" ht="15" hidden="false" customHeight="true" outlineLevel="0" collapsed="false">
      <c r="A29" s="25" t="s">
        <v>152</v>
      </c>
      <c r="B29" s="21" t="s">
        <v>153</v>
      </c>
      <c r="C29" s="22" t="n">
        <f aca="false">COUNTIFS(Sheet1!E2:E21,"&gt;60")</f>
        <v>19</v>
      </c>
      <c r="D29" s="25" t="s">
        <v>154</v>
      </c>
      <c r="E29" s="21" t="s">
        <v>155</v>
      </c>
      <c r="F29" s="22" t="n">
        <f aca="false">COUNTIFS(Sheet1!F2:F21,"&gt;60")</f>
        <v>11</v>
      </c>
      <c r="G29" s="26" t="s">
        <v>156</v>
      </c>
      <c r="H29" s="26"/>
      <c r="I29" s="26"/>
      <c r="J29" s="26"/>
    </row>
    <row r="30" customFormat="false" ht="23.85" hidden="false" customHeight="true" outlineLevel="0" collapsed="false">
      <c r="A30" s="27" t="s">
        <v>157</v>
      </c>
      <c r="B30" s="23" t="s">
        <v>158</v>
      </c>
      <c r="C30" s="22" t="n">
        <f aca="false">COUNTIFS(Sheet1!G2:G21,"&gt;60")</f>
        <v>10</v>
      </c>
      <c r="D30" s="27" t="s">
        <v>159</v>
      </c>
      <c r="E30" s="23" t="s">
        <v>160</v>
      </c>
      <c r="F30" s="22" t="n">
        <f aca="false">COUNTIFS(Sheet1!E2:E21,"&gt;60",Sheet1!F2:F21,"&gt;60")</f>
        <v>10</v>
      </c>
      <c r="G30" s="28" t="s">
        <v>161</v>
      </c>
      <c r="H30" s="28"/>
      <c r="I30" s="28"/>
      <c r="J30" s="28"/>
    </row>
    <row r="31" customFormat="false" ht="23.85" hidden="false" customHeight="true" outlineLevel="0" collapsed="false">
      <c r="A31" s="25" t="s">
        <v>162</v>
      </c>
      <c r="B31" s="21" t="s">
        <v>163</v>
      </c>
      <c r="C31" s="22" t="n">
        <f aca="false">COUNTIFS(Sheet1!E2:E21,"&gt;80")</f>
        <v>10</v>
      </c>
      <c r="D31" s="25" t="s">
        <v>164</v>
      </c>
      <c r="E31" s="21" t="s">
        <v>165</v>
      </c>
      <c r="F31" s="22" t="n">
        <f aca="false">COUNTIFS(Sheet1!E2:E21,"&gt;60",Sheet1!F2:F21,"&gt;60",Sheet1!G2:G21,"&gt;60")</f>
        <v>6</v>
      </c>
      <c r="G31" s="26" t="s">
        <v>166</v>
      </c>
      <c r="H31" s="26"/>
      <c r="I31" s="26"/>
      <c r="J31" s="26"/>
    </row>
    <row r="32" customFormat="false" ht="23.85" hidden="false" customHeight="true" outlineLevel="0" collapsed="false">
      <c r="A32" s="27" t="s">
        <v>167</v>
      </c>
      <c r="B32" s="23" t="s">
        <v>168</v>
      </c>
      <c r="C32" s="22" t="n">
        <f aca="false">COUNTIFS(Sheet1!E2:E21,"&gt;50")</f>
        <v>19</v>
      </c>
      <c r="D32" s="27" t="s">
        <v>169</v>
      </c>
      <c r="E32" s="23" t="s">
        <v>170</v>
      </c>
      <c r="F32" s="22" t="n">
        <f aca="false">COUNTIFS(Sheet1!S2:S21,"IT")</f>
        <v>5</v>
      </c>
      <c r="G32" s="28" t="s">
        <v>171</v>
      </c>
      <c r="H32" s="28"/>
      <c r="I32" s="28"/>
      <c r="J32" s="28"/>
    </row>
    <row r="34" customFormat="false" ht="21.75" hidden="false" customHeight="true" outlineLevel="0" collapsed="false">
      <c r="A34" s="19" t="s">
        <v>172</v>
      </c>
      <c r="B34" s="19"/>
      <c r="C34" s="19"/>
      <c r="D34" s="19"/>
      <c r="E34" s="19"/>
      <c r="F34" s="19"/>
      <c r="G34" s="19"/>
      <c r="H34" s="19"/>
      <c r="I34" s="19"/>
      <c r="J34" s="19"/>
    </row>
    <row r="35" customFormat="false" ht="18" hidden="false" customHeight="true" outlineLevel="0" collapsed="false">
      <c r="A35" s="20" t="s">
        <v>173</v>
      </c>
      <c r="B35" s="20" t="s">
        <v>174</v>
      </c>
      <c r="C35" s="20" t="s">
        <v>150</v>
      </c>
      <c r="D35" s="20" t="s">
        <v>175</v>
      </c>
      <c r="E35" s="20" t="s">
        <v>150</v>
      </c>
      <c r="F35" s="20" t="s">
        <v>176</v>
      </c>
      <c r="G35" s="20" t="s">
        <v>150</v>
      </c>
      <c r="H35" s="20" t="s">
        <v>177</v>
      </c>
      <c r="I35" s="20" t="s">
        <v>150</v>
      </c>
      <c r="J35" s="20" t="s">
        <v>151</v>
      </c>
    </row>
    <row r="36" customFormat="false" ht="57.45" hidden="false" customHeight="false" outlineLevel="0" collapsed="false">
      <c r="A36" s="25" t="n">
        <v>2001</v>
      </c>
      <c r="B36" s="21" t="s">
        <v>178</v>
      </c>
      <c r="C36" s="22" t="str">
        <f aca="false">VLOOKUP(2001,Sheet1!$J$2:$N$21,2,0)</f>
        <v>Keyboard</v>
      </c>
      <c r="D36" s="21" t="s">
        <v>179</v>
      </c>
      <c r="E36" s="22" t="str">
        <f aca="false">VLOOKUP(2001,Sheet1!$J$2:$N$21,3,0)</f>
        <v>South</v>
      </c>
      <c r="F36" s="21" t="s">
        <v>180</v>
      </c>
      <c r="G36" s="22" t="str">
        <f aca="false">VLOOKUP(2001,Sheet1!$J$2:$N$21,4,0)</f>
        <v>Person 1</v>
      </c>
      <c r="H36" s="21" t="s">
        <v>181</v>
      </c>
      <c r="I36" s="29" t="n">
        <f aca="false">VLOOKUP(2001,Sheet1!$J$2:$N$21,5,0)</f>
        <v>7048</v>
      </c>
      <c r="J36" s="30" t="s">
        <v>182</v>
      </c>
    </row>
    <row r="37" customFormat="false" ht="57.45" hidden="false" customHeight="false" outlineLevel="0" collapsed="false">
      <c r="A37" s="27" t="n">
        <v>2005</v>
      </c>
      <c r="B37" s="23" t="s">
        <v>183</v>
      </c>
      <c r="C37" s="22" t="str">
        <f aca="false">VLOOKUP(2005,Sheet1!$J$2:$N$21,2,0)</f>
        <v>Keyboard</v>
      </c>
      <c r="D37" s="23" t="s">
        <v>184</v>
      </c>
      <c r="E37" s="22" t="str">
        <f aca="false">VLOOKUP(2005,Sheet1!$J$2:$N$21,3,0)</f>
        <v>North</v>
      </c>
      <c r="F37" s="23" t="s">
        <v>185</v>
      </c>
      <c r="G37" s="22" t="str">
        <f aca="false">VLOOKUP(2005,Sheet1!$J$2:$N$21,4,0)</f>
        <v>Person 5</v>
      </c>
      <c r="H37" s="23" t="s">
        <v>186</v>
      </c>
      <c r="I37" s="29" t="n">
        <f aca="false">VLOOKUP(2005,Sheet1!$J$2:$N$21,5,0)</f>
        <v>43388</v>
      </c>
      <c r="J37" s="31" t="s">
        <v>182</v>
      </c>
    </row>
    <row r="38" customFormat="false" ht="57.45" hidden="false" customHeight="false" outlineLevel="0" collapsed="false">
      <c r="A38" s="25" t="n">
        <v>2009</v>
      </c>
      <c r="B38" s="21" t="s">
        <v>187</v>
      </c>
      <c r="C38" s="22" t="str">
        <f aca="false">VLOOKUP(2009,Sheet1!$J$2:$N$21,2,0)</f>
        <v>Printer</v>
      </c>
      <c r="D38" s="21" t="s">
        <v>188</v>
      </c>
      <c r="E38" s="22" t="str">
        <f aca="false">VLOOKUP(2009,Sheet1!$J$2:$N$21,3,0)</f>
        <v>East</v>
      </c>
      <c r="F38" s="21" t="s">
        <v>189</v>
      </c>
      <c r="G38" s="22" t="str">
        <f aca="false">VLOOKUP(2009,Sheet1!$J$2:$N$21,4,0)</f>
        <v>Person 9</v>
      </c>
      <c r="H38" s="21" t="s">
        <v>190</v>
      </c>
      <c r="I38" s="29" t="n">
        <f aca="false">VLOOKUP(2009,Sheet1!$J$2:$N$21,5,0)</f>
        <v>19746</v>
      </c>
      <c r="J38" s="30" t="s">
        <v>182</v>
      </c>
    </row>
    <row r="39" customFormat="false" ht="57.45" hidden="false" customHeight="false" outlineLevel="0" collapsed="false">
      <c r="A39" s="27" t="n">
        <v>2013</v>
      </c>
      <c r="B39" s="23" t="s">
        <v>191</v>
      </c>
      <c r="C39" s="22" t="str">
        <f aca="false">VLOOKUP(2013,Sheet1!$J$2:$N$21,2,0)</f>
        <v>Laptop</v>
      </c>
      <c r="D39" s="23" t="s">
        <v>192</v>
      </c>
      <c r="E39" s="22" t="str">
        <f aca="false">VLOOKUP(2013,Sheet1!$J$2:$N$21,3,0)</f>
        <v>East</v>
      </c>
      <c r="F39" s="23" t="s">
        <v>193</v>
      </c>
      <c r="G39" s="22" t="str">
        <f aca="false">VLOOKUP(2013,Sheet1!$J$2:$N$21,4,0)</f>
        <v>Person 13</v>
      </c>
      <c r="H39" s="23" t="s">
        <v>194</v>
      </c>
      <c r="I39" s="29" t="n">
        <f aca="false">VLOOKUP(2013,Sheet1!$J$2:$N$21,5,0)</f>
        <v>15560</v>
      </c>
      <c r="J39" s="31" t="s">
        <v>182</v>
      </c>
    </row>
    <row r="40" customFormat="false" ht="57.45" hidden="false" customHeight="false" outlineLevel="0" collapsed="false">
      <c r="A40" s="25" t="n">
        <v>2017</v>
      </c>
      <c r="B40" s="21" t="s">
        <v>195</v>
      </c>
      <c r="C40" s="22" t="str">
        <f aca="false">VLOOKUP(2017,Sheet1!$J$2:$N$21,2,0)</f>
        <v>Monitor</v>
      </c>
      <c r="D40" s="21" t="s">
        <v>196</v>
      </c>
      <c r="E40" s="22" t="str">
        <f aca="false">VLOOKUP(2017,Sheet1!$J$2:$N$21,3,0)</f>
        <v>North</v>
      </c>
      <c r="F40" s="21" t="s">
        <v>197</v>
      </c>
      <c r="G40" s="22" t="str">
        <f aca="false">VLOOKUP(2017,Sheet1!$J$2:$N$21,4,0)</f>
        <v>Person 17</v>
      </c>
      <c r="H40" s="21" t="s">
        <v>198</v>
      </c>
      <c r="I40" s="29" t="n">
        <f aca="false">VLOOKUP(2017,Sheet1!$J$2:$N$21,5,0)</f>
        <v>41871</v>
      </c>
      <c r="J40" s="30" t="s">
        <v>182</v>
      </c>
    </row>
    <row r="41" customFormat="false" ht="57.45" hidden="false" customHeight="false" outlineLevel="0" collapsed="false">
      <c r="A41" s="27" t="n">
        <v>2020</v>
      </c>
      <c r="B41" s="23" t="s">
        <v>199</v>
      </c>
      <c r="C41" s="22" t="str">
        <f aca="false">VLOOKUP(2020,Sheet1!$J$2:$N$21,2,0)</f>
        <v>Printer</v>
      </c>
      <c r="D41" s="23" t="s">
        <v>200</v>
      </c>
      <c r="E41" s="22" t="str">
        <f aca="false">VLOOKUP(2020,Sheet1!$J$2:$N$21,3,0)</f>
        <v>West</v>
      </c>
      <c r="F41" s="23" t="s">
        <v>201</v>
      </c>
      <c r="G41" s="22" t="str">
        <f aca="false">VLOOKUP(2020,Sheet1!$J$2:$N$21,4,0)</f>
        <v>Person 20</v>
      </c>
      <c r="H41" s="23" t="s">
        <v>202</v>
      </c>
      <c r="I41" s="29" t="n">
        <f aca="false">VLOOKUP(2020,Sheet1!$J$2:$N$21,5,0)</f>
        <v>33953</v>
      </c>
      <c r="J41" s="31" t="s">
        <v>182</v>
      </c>
    </row>
    <row r="43" customFormat="false" ht="21.75" hidden="false" customHeight="true" outlineLevel="0" collapsed="false">
      <c r="A43" s="19" t="s">
        <v>203</v>
      </c>
      <c r="B43" s="19"/>
      <c r="C43" s="19"/>
      <c r="D43" s="19"/>
      <c r="E43" s="19"/>
      <c r="F43" s="19"/>
      <c r="G43" s="19"/>
      <c r="H43" s="19"/>
      <c r="I43" s="19"/>
      <c r="J43" s="19"/>
    </row>
    <row r="44" customFormat="false" ht="18" hidden="false" customHeight="true" outlineLevel="0" collapsed="false">
      <c r="A44" s="20" t="s">
        <v>204</v>
      </c>
      <c r="B44" s="20" t="s">
        <v>205</v>
      </c>
      <c r="C44" s="20" t="s">
        <v>16</v>
      </c>
      <c r="D44" s="20" t="s">
        <v>206</v>
      </c>
      <c r="E44" s="20" t="s">
        <v>207</v>
      </c>
      <c r="F44" s="20" t="s">
        <v>208</v>
      </c>
      <c r="G44" s="32" t="s">
        <v>151</v>
      </c>
      <c r="H44" s="32"/>
      <c r="I44" s="32"/>
      <c r="J44" s="32"/>
    </row>
    <row r="45" customFormat="false" ht="15" hidden="false" customHeight="true" outlineLevel="0" collapsed="false">
      <c r="A45" s="25" t="s">
        <v>25</v>
      </c>
      <c r="B45" s="21" t="s">
        <v>209</v>
      </c>
      <c r="C45" s="21" t="str">
        <f aca="false">INDEX(Sheet1!$S$2:$S$21,MATCH("Employee 1",Sheet1!$R$2:$R$21,0))</f>
        <v>Finance</v>
      </c>
      <c r="D45" s="29" t="n">
        <f aca="false">INDEX(Sheet1!$T$2:$T$21,MATCH("Employee 1",Sheet1!$R$2:$R$21,0))</f>
        <v>86766</v>
      </c>
      <c r="E45" s="21" t="s">
        <v>210</v>
      </c>
      <c r="F45" s="29" t="n">
        <f aca="false">INDEX(Sheet1!$T$2:$T$21,MATCH("Employee 1",Sheet1!$R$2:$R$21,0))</f>
        <v>86766</v>
      </c>
      <c r="G45" s="26" t="s">
        <v>211</v>
      </c>
      <c r="H45" s="26"/>
      <c r="I45" s="26"/>
      <c r="J45" s="26"/>
    </row>
    <row r="46" customFormat="false" ht="15" hidden="false" customHeight="true" outlineLevel="0" collapsed="false">
      <c r="A46" s="27" t="s">
        <v>35</v>
      </c>
      <c r="B46" s="23" t="s">
        <v>212</v>
      </c>
      <c r="C46" s="23" t="str">
        <f aca="false">INDEX(Sheet1!$S$2:$S$21,MATCH("Employee 3",Sheet1!$R$2:$R$21,0))</f>
        <v>HR</v>
      </c>
      <c r="D46" s="29" t="n">
        <f aca="false">INDEX(Sheet1!$T$2:$T$21,MATCH("Employee 3",Sheet1!$R$2:$R$21,0))</f>
        <v>63374</v>
      </c>
      <c r="E46" s="23" t="s">
        <v>213</v>
      </c>
      <c r="F46" s="29" t="n">
        <f aca="false">INDEX(Sheet1!$T$2:$T$21,MATCH("Employee 3",Sheet1!$R$2:$R$21,0))</f>
        <v>63374</v>
      </c>
      <c r="G46" s="28" t="s">
        <v>211</v>
      </c>
      <c r="H46" s="28"/>
      <c r="I46" s="28"/>
      <c r="J46" s="28"/>
    </row>
    <row r="47" customFormat="false" ht="15" hidden="false" customHeight="true" outlineLevel="0" collapsed="false">
      <c r="A47" s="25" t="s">
        <v>46</v>
      </c>
      <c r="B47" s="21" t="s">
        <v>214</v>
      </c>
      <c r="C47" s="21" t="str">
        <f aca="false">INDEX(Sheet1!$S$2:$S$21,MATCH("Employee 5",Sheet1!$R$2:$R$21,0))</f>
        <v>IT</v>
      </c>
      <c r="D47" s="29" t="n">
        <f aca="false">INDEX(Sheet1!$T$2:$T$21,MATCH("Employee 5",Sheet1!$R$2:$R$21,0))</f>
        <v>54149</v>
      </c>
      <c r="E47" s="21" t="s">
        <v>215</v>
      </c>
      <c r="F47" s="29" t="n">
        <f aca="false">INDEX(Sheet1!$T$2:$T$21,MATCH("Employee 5",Sheet1!$R$2:$R$21,0))</f>
        <v>54149</v>
      </c>
      <c r="G47" s="26" t="s">
        <v>211</v>
      </c>
      <c r="H47" s="26"/>
      <c r="I47" s="26"/>
      <c r="J47" s="26"/>
    </row>
    <row r="48" customFormat="false" ht="15" hidden="false" customHeight="true" outlineLevel="0" collapsed="false">
      <c r="A48" s="27" t="s">
        <v>55</v>
      </c>
      <c r="B48" s="23" t="s">
        <v>216</v>
      </c>
      <c r="C48" s="23" t="str">
        <f aca="false">INDEX(Sheet1!$S$2:$S$21,MATCH("Employee 7",Sheet1!$R$2:$R$21,0))</f>
        <v>Marketing</v>
      </c>
      <c r="D48" s="29" t="n">
        <f aca="false">INDEX(Sheet1!$T$2:$T$21,MATCH("Employee 7",Sheet1!$R$2:$R$21,0))</f>
        <v>35960</v>
      </c>
      <c r="E48" s="23" t="s">
        <v>217</v>
      </c>
      <c r="F48" s="29" t="n">
        <f aca="false">INDEX(Sheet1!$T$2:$T$21,MATCH("Employee 7",Sheet1!$R$2:$R$21,0))</f>
        <v>35960</v>
      </c>
      <c r="G48" s="28" t="s">
        <v>211</v>
      </c>
      <c r="H48" s="28"/>
      <c r="I48" s="28"/>
      <c r="J48" s="28"/>
    </row>
    <row r="49" customFormat="false" ht="15" hidden="false" customHeight="true" outlineLevel="0" collapsed="false">
      <c r="A49" s="25" t="s">
        <v>63</v>
      </c>
      <c r="B49" s="21" t="s">
        <v>218</v>
      </c>
      <c r="C49" s="21" t="str">
        <f aca="false">INDEX(Sheet1!$S$2:$S$21,MATCH("Employee 9",Sheet1!$R$2:$R$21,0))</f>
        <v>IT</v>
      </c>
      <c r="D49" s="29" t="n">
        <f aca="false">INDEX(Sheet1!$T$2:$T$21,MATCH("Employee 9",Sheet1!$R$2:$R$21,0))</f>
        <v>90423</v>
      </c>
      <c r="E49" s="21" t="s">
        <v>219</v>
      </c>
      <c r="F49" s="29" t="n">
        <f aca="false">INDEX(Sheet1!$T$2:$T$21,MATCH("Employee 9",Sheet1!$R$2:$R$21,0))</f>
        <v>90423</v>
      </c>
      <c r="G49" s="26" t="s">
        <v>211</v>
      </c>
      <c r="H49" s="26"/>
      <c r="I49" s="26"/>
      <c r="J49" s="26"/>
    </row>
    <row r="50" customFormat="false" ht="15" hidden="false" customHeight="true" outlineLevel="0" collapsed="false">
      <c r="A50" s="27" t="s">
        <v>71</v>
      </c>
      <c r="B50" s="23" t="s">
        <v>220</v>
      </c>
      <c r="C50" s="23" t="str">
        <f aca="false">INDEX(Sheet1!$S$2:$S$21,MATCH("Employee 11",Sheet1!$R$2:$R$21,0))</f>
        <v>Finance</v>
      </c>
      <c r="D50" s="29" t="n">
        <f aca="false">INDEX(Sheet1!$T$2:$T$21,MATCH("Employee 11",Sheet1!$R$2:$R$21,0))</f>
        <v>107634</v>
      </c>
      <c r="E50" s="23" t="s">
        <v>221</v>
      </c>
      <c r="F50" s="29" t="n">
        <f aca="false">INDEX(Sheet1!$T$2:$T$21,MATCH("Employee 11",Sheet1!$R$2:$R$21,0))</f>
        <v>107634</v>
      </c>
      <c r="G50" s="28" t="s">
        <v>211</v>
      </c>
      <c r="H50" s="28"/>
      <c r="I50" s="28"/>
      <c r="J50" s="28"/>
    </row>
    <row r="51" customFormat="false" ht="15" hidden="false" customHeight="true" outlineLevel="0" collapsed="false">
      <c r="A51" s="25" t="s">
        <v>80</v>
      </c>
      <c r="B51" s="21" t="s">
        <v>222</v>
      </c>
      <c r="C51" s="21" t="str">
        <f aca="false">INDEX(Sheet1!$S$2:$S$21,MATCH("Employee 13",Sheet1!$R$2:$R$21,0))</f>
        <v>HR</v>
      </c>
      <c r="D51" s="29" t="n">
        <f aca="false">INDEX(Sheet1!$T$2:$T$21,MATCH("Employee 13",Sheet1!$R$2:$R$21,0))</f>
        <v>40872</v>
      </c>
      <c r="E51" s="21" t="s">
        <v>223</v>
      </c>
      <c r="F51" s="29" t="n">
        <f aca="false">INDEX(Sheet1!$T$2:$T$21,MATCH("Employee 13",Sheet1!$R$2:$R$21,0))</f>
        <v>40872</v>
      </c>
      <c r="G51" s="26" t="s">
        <v>211</v>
      </c>
      <c r="H51" s="26"/>
      <c r="I51" s="26"/>
      <c r="J51" s="26"/>
    </row>
    <row r="52" customFormat="false" ht="15" hidden="false" customHeight="true" outlineLevel="0" collapsed="false">
      <c r="A52" s="27" t="s">
        <v>88</v>
      </c>
      <c r="B52" s="23" t="s">
        <v>224</v>
      </c>
      <c r="C52" s="23" t="str">
        <f aca="false">INDEX(Sheet1!$S$2:$S$21,MATCH("Employee 15",Sheet1!$R$2:$R$21,0))</f>
        <v>HR</v>
      </c>
      <c r="D52" s="29" t="n">
        <f aca="false">INDEX(Sheet1!$T$2:$T$21,MATCH("Employee 15",Sheet1!$R$2:$R$21,0))</f>
        <v>63297</v>
      </c>
      <c r="E52" s="23" t="s">
        <v>225</v>
      </c>
      <c r="F52" s="29" t="n">
        <f aca="false">INDEX(Sheet1!$T$2:$T$21,MATCH("Employee 15",Sheet1!$R$2:$R$21,0))</f>
        <v>63297</v>
      </c>
      <c r="G52" s="28" t="s">
        <v>211</v>
      </c>
      <c r="H52" s="28"/>
      <c r="I52" s="28"/>
      <c r="J52" s="28"/>
    </row>
    <row r="53" customFormat="false" ht="15" hidden="false" customHeight="true" outlineLevel="0" collapsed="false">
      <c r="A53" s="25" t="s">
        <v>95</v>
      </c>
      <c r="B53" s="21" t="s">
        <v>226</v>
      </c>
      <c r="C53" s="21" t="str">
        <f aca="false">INDEX(Sheet1!$S$2:$S$21,MATCH("Employee 17",Sheet1!$R$2:$R$21,0))</f>
        <v>HR</v>
      </c>
      <c r="D53" s="29" t="n">
        <f aca="false">INDEX(Sheet1!$T$2:$T$21,MATCH("Employee 17",Sheet1!$R$2:$R$21,0))</f>
        <v>86915</v>
      </c>
      <c r="E53" s="21" t="s">
        <v>227</v>
      </c>
      <c r="F53" s="29" t="n">
        <f aca="false">INDEX(Sheet1!$T$2:$T$21,MATCH("Employee 17",Sheet1!$R$2:$R$21,0))</f>
        <v>86915</v>
      </c>
      <c r="G53" s="26" t="s">
        <v>211</v>
      </c>
      <c r="H53" s="26"/>
      <c r="I53" s="26"/>
      <c r="J53" s="26"/>
    </row>
    <row r="54" customFormat="false" ht="15" hidden="false" customHeight="true" outlineLevel="0" collapsed="false">
      <c r="A54" s="27" t="s">
        <v>103</v>
      </c>
      <c r="B54" s="23" t="s">
        <v>228</v>
      </c>
      <c r="C54" s="23" t="str">
        <f aca="false">INDEX(Sheet1!$S$2:$S$21,MATCH("Employee 19",Sheet1!$R$2:$R$21,0))</f>
        <v>Marketing</v>
      </c>
      <c r="D54" s="29" t="n">
        <f aca="false">INDEX(Sheet1!$T$2:$T$21,MATCH("Employee 19",Sheet1!$R$2:$R$21,0))</f>
        <v>116283</v>
      </c>
      <c r="E54" s="23" t="s">
        <v>229</v>
      </c>
      <c r="F54" s="29" t="n">
        <f aca="false">INDEX(Sheet1!$T$2:$T$21,MATCH("Employee 19",Sheet1!$R$2:$R$21,0))</f>
        <v>116283</v>
      </c>
      <c r="G54" s="28" t="s">
        <v>211</v>
      </c>
      <c r="H54" s="28"/>
      <c r="I54" s="28"/>
      <c r="J54" s="28"/>
    </row>
    <row r="56" customFormat="false" ht="21.75" hidden="false" customHeight="true" outlineLevel="0" collapsed="false">
      <c r="A56" s="19" t="s">
        <v>230</v>
      </c>
      <c r="B56" s="19"/>
      <c r="C56" s="19"/>
      <c r="D56" s="19"/>
      <c r="E56" s="19"/>
      <c r="F56" s="19"/>
      <c r="G56" s="19"/>
      <c r="H56" s="19"/>
      <c r="I56" s="19"/>
      <c r="J56" s="19"/>
    </row>
    <row r="57" customFormat="false" ht="30" hidden="false" customHeight="true" outlineLevel="0" collapsed="false">
      <c r="A57" s="20" t="s">
        <v>231</v>
      </c>
      <c r="B57" s="20" t="s">
        <v>232</v>
      </c>
      <c r="C57" s="20" t="s">
        <v>233</v>
      </c>
      <c r="D57" s="20" t="s">
        <v>234</v>
      </c>
      <c r="E57" s="20" t="s">
        <v>235</v>
      </c>
      <c r="F57" s="20" t="s">
        <v>19</v>
      </c>
      <c r="G57" s="20" t="s">
        <v>236</v>
      </c>
      <c r="H57" s="20" t="s">
        <v>237</v>
      </c>
      <c r="I57" s="20" t="s">
        <v>238</v>
      </c>
      <c r="J57" s="20" t="s">
        <v>239</v>
      </c>
    </row>
    <row r="58" customFormat="false" ht="15" hidden="false" customHeight="false" outlineLevel="0" collapsed="false">
      <c r="A58" s="21" t="str">
        <f aca="false">Sheet1!R2</f>
        <v>Employee 1</v>
      </c>
      <c r="B58" s="33" t="n">
        <f aca="false">Sheet1!U2</f>
        <v>42005</v>
      </c>
      <c r="C58" s="22" t="n">
        <f aca="false">YEAR(Sheet1!U2)</f>
        <v>2015</v>
      </c>
      <c r="D58" s="22" t="str">
        <f aca="false">TEXT(Sheet1!U2,"MMMM")</f>
        <v>January</v>
      </c>
      <c r="E58" s="22" t="str">
        <f aca="false">TEXT(Sheet1!U2,"DDDD")</f>
        <v>Thursday</v>
      </c>
      <c r="F58" s="22" t="str">
        <f aca="true">IF(Sheet1!U2&gt;TODAY(),"Future",DATEDIF(Sheet1!U2,TODAY(),"Y")&amp;" yrs")</f>
        <v>11 yrs</v>
      </c>
      <c r="G58" s="22" t="n">
        <f aca="true">IF(Sheet1!U2&gt;TODAY(),"Future",DATEDIF(Sheet1!U2,TODAY(),"M"))</f>
        <v>134</v>
      </c>
      <c r="H58" s="22" t="n">
        <f aca="true">IF(Sheet1!U2&gt;TODAY(),"Future",INT(TODAY()-Sheet1!U2))</f>
        <v>4098</v>
      </c>
      <c r="I58" s="22" t="str">
        <f aca="false">"Q"&amp;INT((MONTH(Sheet1!U2)-1)/3+1)</f>
        <v>Q1</v>
      </c>
      <c r="J58" s="22" t="str">
        <f aca="true">IF(Sheet1!U2&gt;TODAY(),"Not Yet Joined",IF(DATEDIF(Sheet1!U2,TODAY(),"Y")&gt;=5,"Senior","Junior"))</f>
        <v>Senior</v>
      </c>
    </row>
    <row r="59" customFormat="false" ht="15" hidden="false" customHeight="false" outlineLevel="0" collapsed="false">
      <c r="A59" s="23" t="str">
        <f aca="false">Sheet1!R3</f>
        <v>Employee 2</v>
      </c>
      <c r="B59" s="34" t="n">
        <f aca="false">Sheet1!U3</f>
        <v>42255</v>
      </c>
      <c r="C59" s="22" t="n">
        <f aca="false">YEAR(Sheet1!U3)</f>
        <v>2015</v>
      </c>
      <c r="D59" s="22" t="str">
        <f aca="false">TEXT(Sheet1!U3,"MMMM")</f>
        <v>September</v>
      </c>
      <c r="E59" s="22" t="str">
        <f aca="false">TEXT(Sheet1!U3,"DDDD")</f>
        <v>Tuesday</v>
      </c>
      <c r="F59" s="22" t="str">
        <f aca="true">IF(Sheet1!U3&gt;TODAY(),"Future",DATEDIF(Sheet1!U3,TODAY(),"Y")&amp;" yrs")</f>
        <v>10 yrs</v>
      </c>
      <c r="G59" s="22" t="n">
        <f aca="true">IF(Sheet1!U3&gt;TODAY(),"Future",DATEDIF(Sheet1!U3,TODAY(),"M"))</f>
        <v>126</v>
      </c>
      <c r="H59" s="22" t="n">
        <f aca="true">IF(Sheet1!U3&gt;TODAY(),"Future",INT(TODAY()-Sheet1!U3))</f>
        <v>3848</v>
      </c>
      <c r="I59" s="22" t="str">
        <f aca="false">"Q"&amp;INT((MONTH(Sheet1!U3)-1)/3+1)</f>
        <v>Q3</v>
      </c>
      <c r="J59" s="22" t="str">
        <f aca="true">IF(Sheet1!U3&gt;TODAY(),"Not Yet Joined",IF(DATEDIF(Sheet1!U3,TODAY(),"Y")&gt;=5,"Senior","Junior"))</f>
        <v>Senior</v>
      </c>
    </row>
    <row r="60" customFormat="false" ht="15" hidden="false" customHeight="false" outlineLevel="0" collapsed="false">
      <c r="A60" s="21" t="str">
        <f aca="false">Sheet1!R4</f>
        <v>Employee 3</v>
      </c>
      <c r="B60" s="33" t="n">
        <f aca="false">Sheet1!U4</f>
        <v>42505</v>
      </c>
      <c r="C60" s="22" t="n">
        <f aca="false">YEAR(Sheet1!U4)</f>
        <v>2016</v>
      </c>
      <c r="D60" s="22" t="str">
        <f aca="false">TEXT(Sheet1!U4,"MMMM")</f>
        <v>May</v>
      </c>
      <c r="E60" s="22" t="str">
        <f aca="false">TEXT(Sheet1!U4,"DDDD")</f>
        <v>Sunday</v>
      </c>
      <c r="F60" s="22" t="str">
        <f aca="true">IF(Sheet1!U4&gt;TODAY(),"Future",DATEDIF(Sheet1!U4,TODAY(),"Y")&amp;" yrs")</f>
        <v>9 yrs</v>
      </c>
      <c r="G60" s="22" t="n">
        <f aca="true">IF(Sheet1!U4&gt;TODAY(),"Future",DATEDIF(Sheet1!U4,TODAY(),"M"))</f>
        <v>118</v>
      </c>
      <c r="H60" s="22" t="n">
        <f aca="true">IF(Sheet1!U4&gt;TODAY(),"Future",INT(TODAY()-Sheet1!U4))</f>
        <v>3598</v>
      </c>
      <c r="I60" s="22" t="str">
        <f aca="false">"Q"&amp;INT((MONTH(Sheet1!U4)-1)/3+1)</f>
        <v>Q2</v>
      </c>
      <c r="J60" s="22" t="str">
        <f aca="true">IF(Sheet1!U4&gt;TODAY(),"Not Yet Joined",IF(DATEDIF(Sheet1!U4,TODAY(),"Y")&gt;=5,"Senior","Junior"))</f>
        <v>Senior</v>
      </c>
    </row>
    <row r="61" customFormat="false" ht="15" hidden="false" customHeight="false" outlineLevel="0" collapsed="false">
      <c r="A61" s="23" t="str">
        <f aca="false">Sheet1!R5</f>
        <v>Employee 4</v>
      </c>
      <c r="B61" s="34" t="n">
        <f aca="false">Sheet1!U5</f>
        <v>42755</v>
      </c>
      <c r="C61" s="22" t="n">
        <f aca="false">YEAR(Sheet1!U5)</f>
        <v>2017</v>
      </c>
      <c r="D61" s="22" t="str">
        <f aca="false">TEXT(Sheet1!U5,"MMMM")</f>
        <v>January</v>
      </c>
      <c r="E61" s="22" t="str">
        <f aca="false">TEXT(Sheet1!U5,"DDDD")</f>
        <v>Friday</v>
      </c>
      <c r="F61" s="22" t="str">
        <f aca="true">IF(Sheet1!U5&gt;TODAY(),"Future",DATEDIF(Sheet1!U5,TODAY(),"Y")&amp;" yrs")</f>
        <v>9 yrs</v>
      </c>
      <c r="G61" s="22" t="n">
        <f aca="true">IF(Sheet1!U5&gt;TODAY(),"Future",DATEDIF(Sheet1!U5,TODAY(),"M"))</f>
        <v>110</v>
      </c>
      <c r="H61" s="22" t="n">
        <f aca="true">IF(Sheet1!U5&gt;TODAY(),"Future",INT(TODAY()-Sheet1!U5))</f>
        <v>3348</v>
      </c>
      <c r="I61" s="22" t="str">
        <f aca="false">"Q"&amp;INT((MONTH(Sheet1!U5)-1)/3+1)</f>
        <v>Q1</v>
      </c>
      <c r="J61" s="22" t="str">
        <f aca="true">IF(Sheet1!U5&gt;TODAY(),"Not Yet Joined",IF(DATEDIF(Sheet1!U5,TODAY(),"Y")&gt;=5,"Senior","Junior"))</f>
        <v>Senior</v>
      </c>
    </row>
    <row r="62" customFormat="false" ht="15" hidden="false" customHeight="false" outlineLevel="0" collapsed="false">
      <c r="A62" s="21" t="str">
        <f aca="false">Sheet1!R6</f>
        <v>Employee 5</v>
      </c>
      <c r="B62" s="33" t="n">
        <f aca="false">Sheet1!U6</f>
        <v>43005</v>
      </c>
      <c r="C62" s="22" t="n">
        <f aca="false">YEAR(Sheet1!U6)</f>
        <v>2017</v>
      </c>
      <c r="D62" s="22" t="str">
        <f aca="false">TEXT(Sheet1!U6,"MMMM")</f>
        <v>September</v>
      </c>
      <c r="E62" s="22" t="str">
        <f aca="false">TEXT(Sheet1!U6,"DDDD")</f>
        <v>Wednesday</v>
      </c>
      <c r="F62" s="22" t="str">
        <f aca="true">IF(Sheet1!U6&gt;TODAY(),"Future",DATEDIF(Sheet1!U6,TODAY(),"Y")&amp;" yrs")</f>
        <v>8 yrs</v>
      </c>
      <c r="G62" s="22" t="n">
        <f aca="true">IF(Sheet1!U6&gt;TODAY(),"Future",DATEDIF(Sheet1!U6,TODAY(),"M"))</f>
        <v>101</v>
      </c>
      <c r="H62" s="22" t="n">
        <f aca="true">IF(Sheet1!U6&gt;TODAY(),"Future",INT(TODAY()-Sheet1!U6))</f>
        <v>3098</v>
      </c>
      <c r="I62" s="22" t="str">
        <f aca="false">"Q"&amp;INT((MONTH(Sheet1!U6)-1)/3+1)</f>
        <v>Q3</v>
      </c>
      <c r="J62" s="22" t="str">
        <f aca="true">IF(Sheet1!U6&gt;TODAY(),"Not Yet Joined",IF(DATEDIF(Sheet1!U6,TODAY(),"Y")&gt;=5,"Senior","Junior"))</f>
        <v>Senior</v>
      </c>
    </row>
    <row r="63" customFormat="false" ht="15" hidden="false" customHeight="false" outlineLevel="0" collapsed="false">
      <c r="A63" s="23" t="str">
        <f aca="false">Sheet1!R7</f>
        <v>Employee 6</v>
      </c>
      <c r="B63" s="34" t="n">
        <f aca="false">Sheet1!U7</f>
        <v>43255</v>
      </c>
      <c r="C63" s="22" t="n">
        <f aca="false">YEAR(Sheet1!U7)</f>
        <v>2018</v>
      </c>
      <c r="D63" s="22" t="str">
        <f aca="false">TEXT(Sheet1!U7,"MMMM")</f>
        <v>June</v>
      </c>
      <c r="E63" s="22" t="str">
        <f aca="false">TEXT(Sheet1!U7,"DDDD")</f>
        <v>Monday</v>
      </c>
      <c r="F63" s="22" t="str">
        <f aca="true">IF(Sheet1!U7&gt;TODAY(),"Future",DATEDIF(Sheet1!U7,TODAY(),"Y")&amp;" yrs")</f>
        <v>7 yrs</v>
      </c>
      <c r="G63" s="22" t="n">
        <f aca="true">IF(Sheet1!U7&gt;TODAY(),"Future",DATEDIF(Sheet1!U7,TODAY(),"M"))</f>
        <v>93</v>
      </c>
      <c r="H63" s="22" t="n">
        <f aca="true">IF(Sheet1!U7&gt;TODAY(),"Future",INT(TODAY()-Sheet1!U7))</f>
        <v>2848</v>
      </c>
      <c r="I63" s="22" t="str">
        <f aca="false">"Q"&amp;INT((MONTH(Sheet1!U7)-1)/3+1)</f>
        <v>Q2</v>
      </c>
      <c r="J63" s="22" t="str">
        <f aca="true">IF(Sheet1!U7&gt;TODAY(),"Not Yet Joined",IF(DATEDIF(Sheet1!U7,TODAY(),"Y")&gt;=5,"Senior","Junior"))</f>
        <v>Senior</v>
      </c>
    </row>
    <row r="64" customFormat="false" ht="15" hidden="false" customHeight="false" outlineLevel="0" collapsed="false">
      <c r="A64" s="21" t="str">
        <f aca="false">Sheet1!R8</f>
        <v>Employee 7</v>
      </c>
      <c r="B64" s="33" t="n">
        <f aca="false">Sheet1!U8</f>
        <v>43505</v>
      </c>
      <c r="C64" s="22" t="n">
        <f aca="false">YEAR(Sheet1!U8)</f>
        <v>2019</v>
      </c>
      <c r="D64" s="22" t="str">
        <f aca="false">TEXT(Sheet1!U8,"MMMM")</f>
        <v>February</v>
      </c>
      <c r="E64" s="22" t="str">
        <f aca="false">TEXT(Sheet1!U8,"DDDD")</f>
        <v>Saturday</v>
      </c>
      <c r="F64" s="22" t="str">
        <f aca="true">IF(Sheet1!U8&gt;TODAY(),"Future",DATEDIF(Sheet1!U8,TODAY(),"Y")&amp;" yrs")</f>
        <v>7 yrs</v>
      </c>
      <c r="G64" s="22" t="n">
        <f aca="true">IF(Sheet1!U8&gt;TODAY(),"Future",DATEDIF(Sheet1!U8,TODAY(),"M"))</f>
        <v>85</v>
      </c>
      <c r="H64" s="22" t="n">
        <f aca="true">IF(Sheet1!U8&gt;TODAY(),"Future",INT(TODAY()-Sheet1!U8))</f>
        <v>2598</v>
      </c>
      <c r="I64" s="22" t="str">
        <f aca="false">"Q"&amp;INT((MONTH(Sheet1!U8)-1)/3+1)</f>
        <v>Q1</v>
      </c>
      <c r="J64" s="22" t="str">
        <f aca="true">IF(Sheet1!U8&gt;TODAY(),"Not Yet Joined",IF(DATEDIF(Sheet1!U8,TODAY(),"Y")&gt;=5,"Senior","Junior"))</f>
        <v>Senior</v>
      </c>
    </row>
    <row r="65" customFormat="false" ht="15" hidden="false" customHeight="false" outlineLevel="0" collapsed="false">
      <c r="A65" s="23" t="str">
        <f aca="false">Sheet1!R9</f>
        <v>Employee 8</v>
      </c>
      <c r="B65" s="34" t="n">
        <f aca="false">Sheet1!U9</f>
        <v>43755</v>
      </c>
      <c r="C65" s="22" t="n">
        <f aca="false">YEAR(Sheet1!U9)</f>
        <v>2019</v>
      </c>
      <c r="D65" s="22" t="str">
        <f aca="false">TEXT(Sheet1!U9,"MMMM")</f>
        <v>October</v>
      </c>
      <c r="E65" s="22" t="str">
        <f aca="false">TEXT(Sheet1!U9,"DDDD")</f>
        <v>Thursday</v>
      </c>
      <c r="F65" s="22" t="str">
        <f aca="true">IF(Sheet1!U9&gt;TODAY(),"Future",DATEDIF(Sheet1!U9,TODAY(),"Y")&amp;" yrs")</f>
        <v>6 yrs</v>
      </c>
      <c r="G65" s="22" t="n">
        <f aca="true">IF(Sheet1!U9&gt;TODAY(),"Future",DATEDIF(Sheet1!U9,TODAY(),"M"))</f>
        <v>77</v>
      </c>
      <c r="H65" s="22" t="n">
        <f aca="true">IF(Sheet1!U9&gt;TODAY(),"Future",INT(TODAY()-Sheet1!U9))</f>
        <v>2348</v>
      </c>
      <c r="I65" s="22" t="str">
        <f aca="false">"Q"&amp;INT((MONTH(Sheet1!U9)-1)/3+1)</f>
        <v>Q4</v>
      </c>
      <c r="J65" s="22" t="str">
        <f aca="true">IF(Sheet1!U9&gt;TODAY(),"Not Yet Joined",IF(DATEDIF(Sheet1!U9,TODAY(),"Y")&gt;=5,"Senior","Junior"))</f>
        <v>Senior</v>
      </c>
    </row>
    <row r="66" customFormat="false" ht="15" hidden="false" customHeight="false" outlineLevel="0" collapsed="false">
      <c r="A66" s="21" t="str">
        <f aca="false">Sheet1!R10</f>
        <v>Employee 9</v>
      </c>
      <c r="B66" s="33" t="n">
        <f aca="false">Sheet1!U10</f>
        <v>44005</v>
      </c>
      <c r="C66" s="22" t="n">
        <f aca="false">YEAR(Sheet1!U10)</f>
        <v>2020</v>
      </c>
      <c r="D66" s="22" t="str">
        <f aca="false">TEXT(Sheet1!U10,"MMMM")</f>
        <v>June</v>
      </c>
      <c r="E66" s="22" t="str">
        <f aca="false">TEXT(Sheet1!U10,"DDDD")</f>
        <v>Tuesday</v>
      </c>
      <c r="F66" s="22" t="str">
        <f aca="true">IF(Sheet1!U10&gt;TODAY(),"Future",DATEDIF(Sheet1!U10,TODAY(),"Y")&amp;" yrs")</f>
        <v>5 yrs</v>
      </c>
      <c r="G66" s="22" t="n">
        <f aca="true">IF(Sheet1!U10&gt;TODAY(),"Future",DATEDIF(Sheet1!U10,TODAY(),"M"))</f>
        <v>68</v>
      </c>
      <c r="H66" s="22" t="n">
        <f aca="true">IF(Sheet1!U10&gt;TODAY(),"Future",INT(TODAY()-Sheet1!U10))</f>
        <v>2098</v>
      </c>
      <c r="I66" s="22" t="str">
        <f aca="false">"Q"&amp;INT((MONTH(Sheet1!U10)-1)/3+1)</f>
        <v>Q2</v>
      </c>
      <c r="J66" s="22" t="str">
        <f aca="true">IF(Sheet1!U10&gt;TODAY(),"Not Yet Joined",IF(DATEDIF(Sheet1!U10,TODAY(),"Y")&gt;=5,"Senior","Junior"))</f>
        <v>Senior</v>
      </c>
    </row>
    <row r="67" customFormat="false" ht="15" hidden="false" customHeight="false" outlineLevel="0" collapsed="false">
      <c r="A67" s="23" t="str">
        <f aca="false">Sheet1!R11</f>
        <v>Employee 10</v>
      </c>
      <c r="B67" s="34" t="n">
        <f aca="false">Sheet1!U11</f>
        <v>44255</v>
      </c>
      <c r="C67" s="22" t="n">
        <f aca="false">YEAR(Sheet1!U11)</f>
        <v>2021</v>
      </c>
      <c r="D67" s="22" t="str">
        <f aca="false">TEXT(Sheet1!U11,"MMMM")</f>
        <v>February</v>
      </c>
      <c r="E67" s="22" t="str">
        <f aca="false">TEXT(Sheet1!U11,"DDDD")</f>
        <v>Sunday</v>
      </c>
      <c r="F67" s="22" t="str">
        <f aca="true">IF(Sheet1!U11&gt;TODAY(),"Future",DATEDIF(Sheet1!U11,TODAY(),"Y")&amp;" yrs")</f>
        <v>5 yrs</v>
      </c>
      <c r="G67" s="22" t="n">
        <f aca="true">IF(Sheet1!U11&gt;TODAY(),"Future",DATEDIF(Sheet1!U11,TODAY(),"M"))</f>
        <v>60</v>
      </c>
      <c r="H67" s="22" t="n">
        <f aca="true">IF(Sheet1!U11&gt;TODAY(),"Future",INT(TODAY()-Sheet1!U11))</f>
        <v>1848</v>
      </c>
      <c r="I67" s="22" t="str">
        <f aca="false">"Q"&amp;INT((MONTH(Sheet1!U11)-1)/3+1)</f>
        <v>Q1</v>
      </c>
      <c r="J67" s="22" t="str">
        <f aca="true">IF(Sheet1!U11&gt;TODAY(),"Not Yet Joined",IF(DATEDIF(Sheet1!U11,TODAY(),"Y")&gt;=5,"Senior","Junior"))</f>
        <v>Senior</v>
      </c>
    </row>
    <row r="68" customFormat="false" ht="15" hidden="false" customHeight="false" outlineLevel="0" collapsed="false">
      <c r="A68" s="21" t="str">
        <f aca="false">Sheet1!R12</f>
        <v>Employee 11</v>
      </c>
      <c r="B68" s="33" t="n">
        <f aca="false">Sheet1!U12</f>
        <v>44505</v>
      </c>
      <c r="C68" s="22" t="n">
        <f aca="false">YEAR(Sheet1!U12)</f>
        <v>2021</v>
      </c>
      <c r="D68" s="22" t="str">
        <f aca="false">TEXT(Sheet1!U12,"MMMM")</f>
        <v>November</v>
      </c>
      <c r="E68" s="22" t="str">
        <f aca="false">TEXT(Sheet1!U12,"DDDD")</f>
        <v>Friday</v>
      </c>
      <c r="F68" s="22" t="str">
        <f aca="true">IF(Sheet1!U12&gt;TODAY(),"Future",DATEDIF(Sheet1!U12,TODAY(),"Y")&amp;" yrs")</f>
        <v>4 yrs</v>
      </c>
      <c r="G68" s="22" t="n">
        <f aca="true">IF(Sheet1!U12&gt;TODAY(),"Future",DATEDIF(Sheet1!U12,TODAY(),"M"))</f>
        <v>52</v>
      </c>
      <c r="H68" s="22" t="n">
        <f aca="true">IF(Sheet1!U12&gt;TODAY(),"Future",INT(TODAY()-Sheet1!U12))</f>
        <v>1598</v>
      </c>
      <c r="I68" s="22" t="str">
        <f aca="false">"Q"&amp;INT((MONTH(Sheet1!U12)-1)/3+1)</f>
        <v>Q4</v>
      </c>
      <c r="J68" s="22" t="str">
        <f aca="true">IF(Sheet1!U12&gt;TODAY(),"Not Yet Joined",IF(DATEDIF(Sheet1!U12,TODAY(),"Y")&gt;=5,"Senior","Junior"))</f>
        <v>Junior</v>
      </c>
    </row>
    <row r="69" customFormat="false" ht="15" hidden="false" customHeight="false" outlineLevel="0" collapsed="false">
      <c r="A69" s="23" t="str">
        <f aca="false">Sheet1!R13</f>
        <v>Employee 12</v>
      </c>
      <c r="B69" s="34" t="n">
        <f aca="false">Sheet1!U13</f>
        <v>44755</v>
      </c>
      <c r="C69" s="22" t="n">
        <f aca="false">YEAR(Sheet1!U13)</f>
        <v>2022</v>
      </c>
      <c r="D69" s="22" t="str">
        <f aca="false">TEXT(Sheet1!U13,"MMMM")</f>
        <v>July</v>
      </c>
      <c r="E69" s="22" t="str">
        <f aca="false">TEXT(Sheet1!U13,"DDDD")</f>
        <v>Wednesday</v>
      </c>
      <c r="F69" s="22" t="str">
        <f aca="true">IF(Sheet1!U13&gt;TODAY(),"Future",DATEDIF(Sheet1!U13,TODAY(),"Y")&amp;" yrs")</f>
        <v>3 yrs</v>
      </c>
      <c r="G69" s="22" t="n">
        <f aca="true">IF(Sheet1!U13&gt;TODAY(),"Future",DATEDIF(Sheet1!U13,TODAY(),"M"))</f>
        <v>44</v>
      </c>
      <c r="H69" s="22" t="n">
        <f aca="true">IF(Sheet1!U13&gt;TODAY(),"Future",INT(TODAY()-Sheet1!U13))</f>
        <v>1348</v>
      </c>
      <c r="I69" s="22" t="str">
        <f aca="false">"Q"&amp;INT((MONTH(Sheet1!U13)-1)/3+1)</f>
        <v>Q3</v>
      </c>
      <c r="J69" s="22" t="str">
        <f aca="true">IF(Sheet1!U13&gt;TODAY(),"Not Yet Joined",IF(DATEDIF(Sheet1!U13,TODAY(),"Y")&gt;=5,"Senior","Junior"))</f>
        <v>Junior</v>
      </c>
    </row>
    <row r="70" customFormat="false" ht="15" hidden="false" customHeight="false" outlineLevel="0" collapsed="false">
      <c r="A70" s="21" t="str">
        <f aca="false">Sheet1!R14</f>
        <v>Employee 13</v>
      </c>
      <c r="B70" s="33" t="n">
        <f aca="false">Sheet1!U14</f>
        <v>45005</v>
      </c>
      <c r="C70" s="22" t="n">
        <f aca="false">YEAR(Sheet1!U14)</f>
        <v>2023</v>
      </c>
      <c r="D70" s="22" t="str">
        <f aca="false">TEXT(Sheet1!U14,"MMMM")</f>
        <v>March</v>
      </c>
      <c r="E70" s="22" t="str">
        <f aca="false">TEXT(Sheet1!U14,"DDDD")</f>
        <v>Monday</v>
      </c>
      <c r="F70" s="22" t="str">
        <f aca="true">IF(Sheet1!U14&gt;TODAY(),"Future",DATEDIF(Sheet1!U14,TODAY(),"Y")&amp;" yrs")</f>
        <v>3 yrs</v>
      </c>
      <c r="G70" s="22" t="n">
        <f aca="true">IF(Sheet1!U14&gt;TODAY(),"Future",DATEDIF(Sheet1!U14,TODAY(),"M"))</f>
        <v>36</v>
      </c>
      <c r="H70" s="22" t="n">
        <f aca="true">IF(Sheet1!U14&gt;TODAY(),"Future",INT(TODAY()-Sheet1!U14))</f>
        <v>1098</v>
      </c>
      <c r="I70" s="22" t="str">
        <f aca="false">"Q"&amp;INT((MONTH(Sheet1!U14)-1)/3+1)</f>
        <v>Q1</v>
      </c>
      <c r="J70" s="22" t="str">
        <f aca="true">IF(Sheet1!U14&gt;TODAY(),"Not Yet Joined",IF(DATEDIF(Sheet1!U14,TODAY(),"Y")&gt;=5,"Senior","Junior"))</f>
        <v>Junior</v>
      </c>
    </row>
    <row r="71" customFormat="false" ht="15" hidden="false" customHeight="false" outlineLevel="0" collapsed="false">
      <c r="A71" s="23" t="str">
        <f aca="false">Sheet1!R15</f>
        <v>Employee 14</v>
      </c>
      <c r="B71" s="34" t="n">
        <f aca="false">Sheet1!U15</f>
        <v>45255</v>
      </c>
      <c r="C71" s="22" t="n">
        <f aca="false">YEAR(Sheet1!U15)</f>
        <v>2023</v>
      </c>
      <c r="D71" s="22" t="str">
        <f aca="false">TEXT(Sheet1!U15,"MMMM")</f>
        <v>November</v>
      </c>
      <c r="E71" s="22" t="str">
        <f aca="false">TEXT(Sheet1!U15,"DDDD")</f>
        <v>Saturday</v>
      </c>
      <c r="F71" s="22" t="str">
        <f aca="true">IF(Sheet1!U15&gt;TODAY(),"Future",DATEDIF(Sheet1!U15,TODAY(),"Y")&amp;" yrs")</f>
        <v>2 yrs</v>
      </c>
      <c r="G71" s="22" t="n">
        <f aca="true">IF(Sheet1!U15&gt;TODAY(),"Future",DATEDIF(Sheet1!U15,TODAY(),"M"))</f>
        <v>27</v>
      </c>
      <c r="H71" s="22" t="n">
        <f aca="true">IF(Sheet1!U15&gt;TODAY(),"Future",INT(TODAY()-Sheet1!U15))</f>
        <v>848</v>
      </c>
      <c r="I71" s="22" t="str">
        <f aca="false">"Q"&amp;INT((MONTH(Sheet1!U15)-1)/3+1)</f>
        <v>Q4</v>
      </c>
      <c r="J71" s="22" t="str">
        <f aca="true">IF(Sheet1!U15&gt;TODAY(),"Not Yet Joined",IF(DATEDIF(Sheet1!U15,TODAY(),"Y")&gt;=5,"Senior","Junior"))</f>
        <v>Junior</v>
      </c>
    </row>
    <row r="72" customFormat="false" ht="15" hidden="false" customHeight="false" outlineLevel="0" collapsed="false">
      <c r="A72" s="21" t="str">
        <f aca="false">Sheet1!R16</f>
        <v>Employee 15</v>
      </c>
      <c r="B72" s="33" t="n">
        <f aca="false">Sheet1!U16</f>
        <v>45505</v>
      </c>
      <c r="C72" s="22" t="n">
        <f aca="false">YEAR(Sheet1!U16)</f>
        <v>2024</v>
      </c>
      <c r="D72" s="22" t="str">
        <f aca="false">TEXT(Sheet1!U16,"MMMM")</f>
        <v>August</v>
      </c>
      <c r="E72" s="22" t="str">
        <f aca="false">TEXT(Sheet1!U16,"DDDD")</f>
        <v>Thursday</v>
      </c>
      <c r="F72" s="22" t="str">
        <f aca="true">IF(Sheet1!U16&gt;TODAY(),"Future",DATEDIF(Sheet1!U16,TODAY(),"Y")&amp;" yrs")</f>
        <v>1 yrs</v>
      </c>
      <c r="G72" s="22" t="n">
        <f aca="true">IF(Sheet1!U16&gt;TODAY(),"Future",DATEDIF(Sheet1!U16,TODAY(),"M"))</f>
        <v>19</v>
      </c>
      <c r="H72" s="22" t="n">
        <f aca="true">IF(Sheet1!U16&gt;TODAY(),"Future",INT(TODAY()-Sheet1!U16))</f>
        <v>598</v>
      </c>
      <c r="I72" s="22" t="str">
        <f aca="false">"Q"&amp;INT((MONTH(Sheet1!U16)-1)/3+1)</f>
        <v>Q3</v>
      </c>
      <c r="J72" s="22" t="str">
        <f aca="true">IF(Sheet1!U16&gt;TODAY(),"Not Yet Joined",IF(DATEDIF(Sheet1!U16,TODAY(),"Y")&gt;=5,"Senior","Junior"))</f>
        <v>Junior</v>
      </c>
    </row>
    <row r="73" customFormat="false" ht="15" hidden="false" customHeight="false" outlineLevel="0" collapsed="false">
      <c r="A73" s="23" t="str">
        <f aca="false">Sheet1!R17</f>
        <v>Employee 16</v>
      </c>
      <c r="B73" s="34" t="n">
        <f aca="false">Sheet1!U17</f>
        <v>45755</v>
      </c>
      <c r="C73" s="22" t="n">
        <f aca="false">YEAR(Sheet1!U17)</f>
        <v>2025</v>
      </c>
      <c r="D73" s="22" t="str">
        <f aca="false">TEXT(Sheet1!U17,"MMMM")</f>
        <v>April</v>
      </c>
      <c r="E73" s="22" t="str">
        <f aca="false">TEXT(Sheet1!U17,"DDDD")</f>
        <v>Tuesday</v>
      </c>
      <c r="F73" s="22" t="str">
        <f aca="true">IF(Sheet1!U17&gt;TODAY(),"Future",DATEDIF(Sheet1!U17,TODAY(),"Y")&amp;" yrs")</f>
        <v>0 yrs</v>
      </c>
      <c r="G73" s="22" t="n">
        <f aca="true">IF(Sheet1!U17&gt;TODAY(),"Future",DATEDIF(Sheet1!U17,TODAY(),"M"))</f>
        <v>11</v>
      </c>
      <c r="H73" s="22" t="n">
        <f aca="true">IF(Sheet1!U17&gt;TODAY(),"Future",INT(TODAY()-Sheet1!U17))</f>
        <v>348</v>
      </c>
      <c r="I73" s="22" t="str">
        <f aca="false">"Q"&amp;INT((MONTH(Sheet1!U17)-1)/3+1)</f>
        <v>Q2</v>
      </c>
      <c r="J73" s="22" t="str">
        <f aca="true">IF(Sheet1!U17&gt;TODAY(),"Not Yet Joined",IF(DATEDIF(Sheet1!U17,TODAY(),"Y")&gt;=5,"Senior","Junior"))</f>
        <v>Junior</v>
      </c>
    </row>
    <row r="74" customFormat="false" ht="15" hidden="false" customHeight="false" outlineLevel="0" collapsed="false">
      <c r="A74" s="21" t="str">
        <f aca="false">Sheet1!R18</f>
        <v>Employee 17</v>
      </c>
      <c r="B74" s="33" t="n">
        <f aca="false">Sheet1!U18</f>
        <v>46005</v>
      </c>
      <c r="C74" s="22" t="n">
        <f aca="false">YEAR(Sheet1!U18)</f>
        <v>2025</v>
      </c>
      <c r="D74" s="22" t="str">
        <f aca="false">TEXT(Sheet1!U18,"MMMM")</f>
        <v>December</v>
      </c>
      <c r="E74" s="22" t="str">
        <f aca="false">TEXT(Sheet1!U18,"DDDD")</f>
        <v>Sunday</v>
      </c>
      <c r="F74" s="22" t="str">
        <f aca="true">IF(Sheet1!U18&gt;TODAY(),"Future",DATEDIF(Sheet1!U18,TODAY(),"Y")&amp;" yrs")</f>
        <v>0 yrs</v>
      </c>
      <c r="G74" s="22" t="n">
        <f aca="true">IF(Sheet1!U18&gt;TODAY(),"Future",DATEDIF(Sheet1!U18,TODAY(),"M"))</f>
        <v>3</v>
      </c>
      <c r="H74" s="22" t="n">
        <f aca="true">IF(Sheet1!U18&gt;TODAY(),"Future",INT(TODAY()-Sheet1!U18))</f>
        <v>98</v>
      </c>
      <c r="I74" s="22" t="str">
        <f aca="false">"Q"&amp;INT((MONTH(Sheet1!U18)-1)/3+1)</f>
        <v>Q4</v>
      </c>
      <c r="J74" s="22" t="str">
        <f aca="true">IF(Sheet1!U18&gt;TODAY(),"Not Yet Joined",IF(DATEDIF(Sheet1!U18,TODAY(),"Y")&gt;=5,"Senior","Junior"))</f>
        <v>Junior</v>
      </c>
    </row>
    <row r="75" customFormat="false" ht="15" hidden="false" customHeight="false" outlineLevel="0" collapsed="false">
      <c r="A75" s="23" t="str">
        <f aca="false">Sheet1!R19</f>
        <v>Employee 18</v>
      </c>
      <c r="B75" s="34" t="n">
        <f aca="false">Sheet1!U19</f>
        <v>46255</v>
      </c>
      <c r="C75" s="22" t="n">
        <f aca="false">YEAR(Sheet1!U19)</f>
        <v>2026</v>
      </c>
      <c r="D75" s="22" t="str">
        <f aca="false">TEXT(Sheet1!U19,"MMMM")</f>
        <v>August</v>
      </c>
      <c r="E75" s="22" t="str">
        <f aca="false">TEXT(Sheet1!U19,"DDDD")</f>
        <v>Friday</v>
      </c>
      <c r="F75" s="22" t="str">
        <f aca="true">IF(Sheet1!U19&gt;TODAY(),"Future",DATEDIF(Sheet1!U19,TODAY(),"Y")&amp;" yrs")</f>
        <v>Future</v>
      </c>
      <c r="G75" s="22" t="str">
        <f aca="true">IF(Sheet1!U19&gt;TODAY(),"Future",DATEDIF(Sheet1!U19,TODAY(),"M"))</f>
        <v>Future</v>
      </c>
      <c r="H75" s="22" t="str">
        <f aca="true">IF(Sheet1!U19&gt;TODAY(),"Future",INT(TODAY()-Sheet1!U19))</f>
        <v>Future</v>
      </c>
      <c r="I75" s="22" t="str">
        <f aca="false">"Q"&amp;INT((MONTH(Sheet1!U19)-1)/3+1)</f>
        <v>Q3</v>
      </c>
      <c r="J75" s="22" t="str">
        <f aca="true">IF(Sheet1!U19&gt;TODAY(),"Not Yet Joined",IF(DATEDIF(Sheet1!U19,TODAY(),"Y")&gt;=5,"Senior","Junior"))</f>
        <v>Not Yet Joined</v>
      </c>
    </row>
    <row r="76" customFormat="false" ht="15" hidden="false" customHeight="false" outlineLevel="0" collapsed="false">
      <c r="A76" s="21" t="str">
        <f aca="false">Sheet1!R20</f>
        <v>Employee 19</v>
      </c>
      <c r="B76" s="33" t="n">
        <f aca="false">Sheet1!U20</f>
        <v>46505</v>
      </c>
      <c r="C76" s="22" t="n">
        <f aca="false">YEAR(Sheet1!U20)</f>
        <v>2027</v>
      </c>
      <c r="D76" s="22" t="str">
        <f aca="false">TEXT(Sheet1!U20,"MMMM")</f>
        <v>April</v>
      </c>
      <c r="E76" s="22" t="str">
        <f aca="false">TEXT(Sheet1!U20,"DDDD")</f>
        <v>Wednesday</v>
      </c>
      <c r="F76" s="22" t="str">
        <f aca="true">IF(Sheet1!U20&gt;TODAY(),"Future",DATEDIF(Sheet1!U20,TODAY(),"Y")&amp;" yrs")</f>
        <v>Future</v>
      </c>
      <c r="G76" s="22" t="str">
        <f aca="true">IF(Sheet1!U20&gt;TODAY(),"Future",DATEDIF(Sheet1!U20,TODAY(),"M"))</f>
        <v>Future</v>
      </c>
      <c r="H76" s="22" t="str">
        <f aca="true">IF(Sheet1!U20&gt;TODAY(),"Future",INT(TODAY()-Sheet1!U20))</f>
        <v>Future</v>
      </c>
      <c r="I76" s="22" t="str">
        <f aca="false">"Q"&amp;INT((MONTH(Sheet1!U20)-1)/3+1)</f>
        <v>Q2</v>
      </c>
      <c r="J76" s="22" t="str">
        <f aca="true">IF(Sheet1!U20&gt;TODAY(),"Not Yet Joined",IF(DATEDIF(Sheet1!U20,TODAY(),"Y")&gt;=5,"Senior","Junior"))</f>
        <v>Not Yet Joined</v>
      </c>
    </row>
    <row r="77" customFormat="false" ht="15" hidden="false" customHeight="false" outlineLevel="0" collapsed="false">
      <c r="A77" s="23" t="str">
        <f aca="false">Sheet1!R21</f>
        <v>Employee 20</v>
      </c>
      <c r="B77" s="34" t="n">
        <f aca="false">Sheet1!U21</f>
        <v>46755</v>
      </c>
      <c r="C77" s="22" t="n">
        <f aca="false">YEAR(Sheet1!U21)</f>
        <v>2028</v>
      </c>
      <c r="D77" s="22" t="str">
        <f aca="false">TEXT(Sheet1!U21,"MMMM")</f>
        <v>January</v>
      </c>
      <c r="E77" s="22" t="str">
        <f aca="false">TEXT(Sheet1!U21,"DDDD")</f>
        <v>Monday</v>
      </c>
      <c r="F77" s="22" t="str">
        <f aca="true">IF(Sheet1!U21&gt;TODAY(),"Future",DATEDIF(Sheet1!U21,TODAY(),"Y")&amp;" yrs")</f>
        <v>Future</v>
      </c>
      <c r="G77" s="22" t="str">
        <f aca="true">IF(Sheet1!U21&gt;TODAY(),"Future",DATEDIF(Sheet1!U21,TODAY(),"M"))</f>
        <v>Future</v>
      </c>
      <c r="H77" s="22" t="str">
        <f aca="true">IF(Sheet1!U21&gt;TODAY(),"Future",INT(TODAY()-Sheet1!U21))</f>
        <v>Future</v>
      </c>
      <c r="I77" s="22" t="str">
        <f aca="false">"Q"&amp;INT((MONTH(Sheet1!U21)-1)/3+1)</f>
        <v>Q1</v>
      </c>
      <c r="J77" s="22" t="str">
        <f aca="true">IF(Sheet1!U21&gt;TODAY(),"Not Yet Joined",IF(DATEDIF(Sheet1!U21,TODAY(),"Y")&gt;=5,"Senior","Junior"))</f>
        <v>Not Yet Joined</v>
      </c>
    </row>
    <row r="79" customFormat="false" ht="21.75" hidden="false" customHeight="true" outlineLevel="0" collapsed="false">
      <c r="A79" s="19" t="s">
        <v>240</v>
      </c>
      <c r="B79" s="19"/>
      <c r="C79" s="19"/>
      <c r="D79" s="19"/>
      <c r="E79" s="19"/>
      <c r="F79" s="19"/>
      <c r="G79" s="19"/>
      <c r="H79" s="19"/>
      <c r="I79" s="19"/>
      <c r="J79" s="19"/>
    </row>
    <row r="80" customFormat="false" ht="15" hidden="false" customHeight="false" outlineLevel="0" collapsed="false">
      <c r="A80" s="35" t="s">
        <v>241</v>
      </c>
      <c r="B80" s="35"/>
      <c r="C80" s="35"/>
      <c r="D80" s="35"/>
      <c r="E80" s="35"/>
      <c r="F80" s="36" t="s">
        <v>242</v>
      </c>
      <c r="G80" s="36"/>
      <c r="H80" s="36"/>
      <c r="I80" s="36"/>
      <c r="J80" s="36"/>
    </row>
    <row r="81" customFormat="false" ht="15" hidden="false" customHeight="false" outlineLevel="0" collapsed="false">
      <c r="A81" s="37" t="s">
        <v>243</v>
      </c>
      <c r="B81" s="37"/>
      <c r="C81" s="37"/>
      <c r="D81" s="37"/>
      <c r="E81" s="37"/>
      <c r="F81" s="37" t="s">
        <v>244</v>
      </c>
      <c r="G81" s="37"/>
      <c r="H81" s="37"/>
      <c r="I81" s="37"/>
      <c r="J81" s="37"/>
    </row>
    <row r="82" customFormat="false" ht="18" hidden="false" customHeight="true" outlineLevel="0" collapsed="false">
      <c r="A82" s="20" t="s">
        <v>1</v>
      </c>
      <c r="B82" s="20" t="s">
        <v>2</v>
      </c>
      <c r="C82" s="20" t="s">
        <v>3</v>
      </c>
      <c r="D82" s="20" t="s">
        <v>4</v>
      </c>
      <c r="E82" s="20" t="s">
        <v>5</v>
      </c>
      <c r="F82" s="20" t="s">
        <v>8</v>
      </c>
      <c r="G82" s="20" t="s">
        <v>9</v>
      </c>
      <c r="H82" s="20" t="s">
        <v>10</v>
      </c>
      <c r="I82" s="20" t="s">
        <v>11</v>
      </c>
      <c r="J82" s="20" t="s">
        <v>12</v>
      </c>
    </row>
    <row r="83" customFormat="false" ht="15" hidden="false" customHeight="false" outlineLevel="0" collapsed="false">
      <c r="A83" s="21" t="n">
        <f aca="false">Sheet1!C4</f>
        <v>1003</v>
      </c>
      <c r="B83" s="21" t="str">
        <f aca="false">Sheet1!D4</f>
        <v>Student 3</v>
      </c>
      <c r="C83" s="21" t="n">
        <f aca="false">Sheet1!E4</f>
        <v>97</v>
      </c>
      <c r="D83" s="21" t="n">
        <f aca="false">Sheet1!F4</f>
        <v>60</v>
      </c>
      <c r="E83" s="21" t="n">
        <f aca="false">Sheet1!G4</f>
        <v>51</v>
      </c>
      <c r="F83" s="38" t="n">
        <f aca="false">Sheet1!J6</f>
        <v>2005</v>
      </c>
      <c r="G83" s="38" t="str">
        <f aca="false">Sheet1!K6</f>
        <v>Keyboard</v>
      </c>
      <c r="H83" s="38" t="str">
        <f aca="false">Sheet1!L6</f>
        <v>North</v>
      </c>
      <c r="I83" s="38" t="str">
        <f aca="false">Sheet1!M6</f>
        <v>Person 5</v>
      </c>
      <c r="J83" s="39" t="n">
        <f aca="false">Sheet1!N6</f>
        <v>43388</v>
      </c>
    </row>
    <row r="84" customFormat="false" ht="15" hidden="false" customHeight="false" outlineLevel="0" collapsed="false">
      <c r="A84" s="23" t="n">
        <f aca="false">Sheet1!C9</f>
        <v>1008</v>
      </c>
      <c r="B84" s="23" t="str">
        <f aca="false">Sheet1!D9</f>
        <v>Student 8</v>
      </c>
      <c r="C84" s="23" t="n">
        <f aca="false">Sheet1!E9</f>
        <v>94</v>
      </c>
      <c r="D84" s="23" t="n">
        <f aca="false">Sheet1!F9</f>
        <v>67</v>
      </c>
      <c r="E84" s="23" t="n">
        <f aca="false">Sheet1!G9</f>
        <v>64</v>
      </c>
      <c r="F84" s="40" t="n">
        <f aca="false">Sheet1!J8</f>
        <v>2007</v>
      </c>
      <c r="G84" s="40" t="str">
        <f aca="false">Sheet1!K8</f>
        <v>Mouse</v>
      </c>
      <c r="H84" s="40" t="str">
        <f aca="false">Sheet1!L8</f>
        <v>East</v>
      </c>
      <c r="I84" s="40" t="str">
        <f aca="false">Sheet1!M8</f>
        <v>Person 7</v>
      </c>
      <c r="J84" s="41" t="n">
        <f aca="false">Sheet1!N8</f>
        <v>32058</v>
      </c>
    </row>
    <row r="85" customFormat="false" ht="15" hidden="false" customHeight="false" outlineLevel="0" collapsed="false">
      <c r="A85" s="21" t="n">
        <f aca="false">Sheet1!C11</f>
        <v>1010</v>
      </c>
      <c r="B85" s="21" t="str">
        <f aca="false">Sheet1!D11</f>
        <v>Student 10</v>
      </c>
      <c r="C85" s="21" t="n">
        <f aca="false">Sheet1!E11</f>
        <v>98</v>
      </c>
      <c r="D85" s="21" t="n">
        <f aca="false">Sheet1!F11</f>
        <v>54</v>
      </c>
      <c r="E85" s="21" t="n">
        <f aca="false">Sheet1!G11</f>
        <v>58</v>
      </c>
      <c r="F85" s="38" t="n">
        <f aca="false">Sheet1!J9</f>
        <v>2008</v>
      </c>
      <c r="G85" s="38" t="str">
        <f aca="false">Sheet1!K9</f>
        <v>Keyboard</v>
      </c>
      <c r="H85" s="38" t="str">
        <f aca="false">Sheet1!L9</f>
        <v>East</v>
      </c>
      <c r="I85" s="38" t="str">
        <f aca="false">Sheet1!M9</f>
        <v>Person 8</v>
      </c>
      <c r="J85" s="39" t="n">
        <f aca="false">Sheet1!N9</f>
        <v>46429</v>
      </c>
    </row>
    <row r="86" customFormat="false" ht="15" hidden="false" customHeight="false" outlineLevel="0" collapsed="false">
      <c r="A86" s="23" t="n">
        <f aca="false">Sheet1!C13</f>
        <v>1012</v>
      </c>
      <c r="B86" s="23" t="str">
        <f aca="false">Sheet1!D13</f>
        <v>Student 12</v>
      </c>
      <c r="C86" s="23" t="n">
        <f aca="false">Sheet1!E13</f>
        <v>85</v>
      </c>
      <c r="D86" s="23" t="n">
        <f aca="false">Sheet1!F13</f>
        <v>89</v>
      </c>
      <c r="E86" s="23" t="n">
        <f aca="false">Sheet1!G13</f>
        <v>79</v>
      </c>
      <c r="F86" s="40" t="n">
        <f aca="false">Sheet1!J11</f>
        <v>2010</v>
      </c>
      <c r="G86" s="40" t="str">
        <f aca="false">Sheet1!K11</f>
        <v>Keyboard</v>
      </c>
      <c r="H86" s="40" t="str">
        <f aca="false">Sheet1!L11</f>
        <v>South</v>
      </c>
      <c r="I86" s="40" t="str">
        <f aca="false">Sheet1!M11</f>
        <v>Person 10</v>
      </c>
      <c r="J86" s="41" t="n">
        <f aca="false">Sheet1!N11</f>
        <v>35185</v>
      </c>
    </row>
    <row r="87" customFormat="false" ht="15" hidden="false" customHeight="false" outlineLevel="0" collapsed="false">
      <c r="A87" s="21" t="n">
        <f aca="false">Sheet1!C14</f>
        <v>1013</v>
      </c>
      <c r="B87" s="21" t="str">
        <f aca="false">Sheet1!D14</f>
        <v>Student 13</v>
      </c>
      <c r="C87" s="21" t="n">
        <f aca="false">Sheet1!E14</f>
        <v>98</v>
      </c>
      <c r="D87" s="21" t="n">
        <f aca="false">Sheet1!F14</f>
        <v>90</v>
      </c>
      <c r="E87" s="21" t="n">
        <f aca="false">Sheet1!G14</f>
        <v>97</v>
      </c>
      <c r="F87" s="38" t="n">
        <f aca="false">Sheet1!J12</f>
        <v>2011</v>
      </c>
      <c r="G87" s="38" t="str">
        <f aca="false">Sheet1!K12</f>
        <v>Keyboard</v>
      </c>
      <c r="H87" s="38" t="str">
        <f aca="false">Sheet1!L12</f>
        <v>East</v>
      </c>
      <c r="I87" s="38" t="str">
        <f aca="false">Sheet1!M12</f>
        <v>Person 11</v>
      </c>
      <c r="J87" s="39" t="n">
        <f aca="false">Sheet1!N12</f>
        <v>33920</v>
      </c>
    </row>
    <row r="88" customFormat="false" ht="15" hidden="false" customHeight="false" outlineLevel="0" collapsed="false">
      <c r="A88" s="23" t="n">
        <f aca="false">Sheet1!C15</f>
        <v>1014</v>
      </c>
      <c r="B88" s="23" t="str">
        <f aca="false">Sheet1!D15</f>
        <v>Student 14</v>
      </c>
      <c r="C88" s="23" t="n">
        <f aca="false">Sheet1!E15</f>
        <v>93</v>
      </c>
      <c r="D88" s="23" t="n">
        <f aca="false">Sheet1!F15</f>
        <v>40</v>
      </c>
      <c r="E88" s="23" t="n">
        <f aca="false">Sheet1!G15</f>
        <v>44</v>
      </c>
      <c r="F88" s="40" t="n">
        <f aca="false">Sheet1!J13</f>
        <v>2012</v>
      </c>
      <c r="G88" s="40" t="str">
        <f aca="false">Sheet1!K13</f>
        <v>Monitor</v>
      </c>
      <c r="H88" s="40" t="str">
        <f aca="false">Sheet1!L13</f>
        <v>North</v>
      </c>
      <c r="I88" s="40" t="str">
        <f aca="false">Sheet1!M13</f>
        <v>Person 12</v>
      </c>
      <c r="J88" s="41" t="n">
        <f aca="false">Sheet1!N13</f>
        <v>35611</v>
      </c>
    </row>
    <row r="89" customFormat="false" ht="15" hidden="false" customHeight="false" outlineLevel="0" collapsed="false">
      <c r="A89" s="21" t="n">
        <f aca="false">Sheet1!C17</f>
        <v>1016</v>
      </c>
      <c r="B89" s="21" t="str">
        <f aca="false">Sheet1!D17</f>
        <v>Student 16</v>
      </c>
      <c r="C89" s="21" t="n">
        <f aca="false">Sheet1!E17</f>
        <v>98</v>
      </c>
      <c r="D89" s="21" t="n">
        <f aca="false">Sheet1!F17</f>
        <v>77</v>
      </c>
      <c r="E89" s="21" t="n">
        <f aca="false">Sheet1!G17</f>
        <v>60</v>
      </c>
      <c r="F89" s="38" t="n">
        <f aca="false">Sheet1!J18</f>
        <v>2017</v>
      </c>
      <c r="G89" s="38" t="str">
        <f aca="false">Sheet1!K18</f>
        <v>Monitor</v>
      </c>
      <c r="H89" s="38" t="str">
        <f aca="false">Sheet1!L18</f>
        <v>North</v>
      </c>
      <c r="I89" s="38" t="str">
        <f aca="false">Sheet1!M18</f>
        <v>Person 17</v>
      </c>
      <c r="J89" s="39" t="n">
        <f aca="false">Sheet1!N18</f>
        <v>41871</v>
      </c>
    </row>
    <row r="90" customFormat="false" ht="15" hidden="false" customHeight="false" outlineLevel="0" collapsed="false">
      <c r="A90" s="23" t="n">
        <f aca="false">Sheet1!C19</f>
        <v>1018</v>
      </c>
      <c r="B90" s="23" t="str">
        <f aca="false">Sheet1!D19</f>
        <v>Student 18</v>
      </c>
      <c r="C90" s="23" t="n">
        <f aca="false">Sheet1!E19</f>
        <v>82</v>
      </c>
      <c r="D90" s="23" t="n">
        <f aca="false">Sheet1!F19</f>
        <v>48</v>
      </c>
      <c r="E90" s="23" t="n">
        <f aca="false">Sheet1!G19</f>
        <v>79</v>
      </c>
      <c r="F90" s="40" t="n">
        <f aca="false">Sheet1!J19</f>
        <v>2018</v>
      </c>
      <c r="G90" s="40" t="str">
        <f aca="false">Sheet1!K19</f>
        <v>Monitor</v>
      </c>
      <c r="H90" s="40" t="str">
        <f aca="false">Sheet1!L19</f>
        <v>West</v>
      </c>
      <c r="I90" s="40" t="str">
        <f aca="false">Sheet1!M19</f>
        <v>Person 18</v>
      </c>
      <c r="J90" s="41" t="n">
        <f aca="false">Sheet1!N19</f>
        <v>38161</v>
      </c>
    </row>
    <row r="91" customFormat="false" ht="15" hidden="false" customHeight="false" outlineLevel="0" collapsed="false">
      <c r="A91" s="21" t="n">
        <f aca="false">Sheet1!C20</f>
        <v>1019</v>
      </c>
      <c r="B91" s="21" t="str">
        <f aca="false">Sheet1!D20</f>
        <v>Student 19</v>
      </c>
      <c r="C91" s="21" t="n">
        <f aca="false">Sheet1!E20</f>
        <v>90</v>
      </c>
      <c r="D91" s="21" t="n">
        <f aca="false">Sheet1!F20</f>
        <v>78</v>
      </c>
      <c r="E91" s="21" t="n">
        <f aca="false">Sheet1!G20</f>
        <v>60</v>
      </c>
      <c r="F91" s="38" t="n">
        <f aca="false">Sheet1!J20</f>
        <v>2019</v>
      </c>
      <c r="G91" s="38" t="str">
        <f aca="false">Sheet1!K20</f>
        <v>Mouse</v>
      </c>
      <c r="H91" s="38" t="str">
        <f aca="false">Sheet1!L20</f>
        <v>West</v>
      </c>
      <c r="I91" s="38" t="str">
        <f aca="false">Sheet1!M20</f>
        <v>Person 19</v>
      </c>
      <c r="J91" s="39" t="n">
        <f aca="false">Sheet1!N20</f>
        <v>30436</v>
      </c>
    </row>
    <row r="92" customFormat="false" ht="15" hidden="false" customHeight="false" outlineLevel="0" collapsed="false">
      <c r="A92" s="23" t="n">
        <f aca="false">Sheet1!C21</f>
        <v>1020</v>
      </c>
      <c r="B92" s="23" t="str">
        <f aca="false">Sheet1!D21</f>
        <v>Student 20</v>
      </c>
      <c r="C92" s="23" t="n">
        <f aca="false">Sheet1!E21</f>
        <v>83</v>
      </c>
      <c r="D92" s="23" t="n">
        <f aca="false">Sheet1!F21</f>
        <v>92</v>
      </c>
      <c r="E92" s="23" t="n">
        <f aca="false">Sheet1!G21</f>
        <v>55</v>
      </c>
      <c r="F92" s="40" t="n">
        <f aca="false">Sheet1!J21</f>
        <v>2020</v>
      </c>
      <c r="G92" s="40" t="str">
        <f aca="false">Sheet1!K21</f>
        <v>Printer</v>
      </c>
      <c r="H92" s="40" t="str">
        <f aca="false">Sheet1!L21</f>
        <v>West</v>
      </c>
      <c r="I92" s="40" t="str">
        <f aca="false">Sheet1!M21</f>
        <v>Person 20</v>
      </c>
      <c r="J92" s="41" t="n">
        <f aca="false">Sheet1!N21</f>
        <v>33953</v>
      </c>
    </row>
    <row r="94" customFormat="false" ht="15" hidden="false" customHeight="true" outlineLevel="0" collapsed="false">
      <c r="A94" s="42" t="s">
        <v>245</v>
      </c>
      <c r="B94" s="42"/>
      <c r="C94" s="22" t="n">
        <f aca="false">COUNTIF(Sheet1!E2:E21,"&gt;80")</f>
        <v>10</v>
      </c>
      <c r="F94" s="42" t="s">
        <v>246</v>
      </c>
      <c r="G94" s="42"/>
      <c r="H94" s="22" t="n">
        <f aca="false">COUNTIF(Sheet1!N2:N21,"&gt;30000")</f>
        <v>10</v>
      </c>
    </row>
    <row r="95" customFormat="false" ht="15" hidden="false" customHeight="true" outlineLevel="0" collapsed="false">
      <c r="A95" s="42" t="s">
        <v>247</v>
      </c>
      <c r="B95" s="42"/>
      <c r="C95" s="43" t="n">
        <f aca="false">AVERAGEIF(Sheet1!E2:E21,"&gt;80")</f>
        <v>91.8</v>
      </c>
      <c r="F95" s="42" t="s">
        <v>248</v>
      </c>
      <c r="G95" s="42"/>
      <c r="H95" s="29" t="n">
        <f aca="false">SUMIF(Sheet1!N2:N21,"&gt;30000")</f>
        <v>371012</v>
      </c>
    </row>
  </sheetData>
  <mergeCells count="32">
    <mergeCell ref="A1:J1"/>
    <mergeCell ref="A2:J2"/>
    <mergeCell ref="A4:J4"/>
    <mergeCell ref="A27:J27"/>
    <mergeCell ref="G28:J28"/>
    <mergeCell ref="G29:J29"/>
    <mergeCell ref="G30:J30"/>
    <mergeCell ref="G31:J31"/>
    <mergeCell ref="G32:J32"/>
    <mergeCell ref="A34:J34"/>
    <mergeCell ref="A43:J43"/>
    <mergeCell ref="G44:J44"/>
    <mergeCell ref="G45:J45"/>
    <mergeCell ref="G46:J46"/>
    <mergeCell ref="G47:J47"/>
    <mergeCell ref="G48:J48"/>
    <mergeCell ref="G49:J49"/>
    <mergeCell ref="G50:J50"/>
    <mergeCell ref="G51:J51"/>
    <mergeCell ref="G52:J52"/>
    <mergeCell ref="G53:J53"/>
    <mergeCell ref="G54:J54"/>
    <mergeCell ref="A56:J56"/>
    <mergeCell ref="A79:J79"/>
    <mergeCell ref="A80:E80"/>
    <mergeCell ref="F80:J80"/>
    <mergeCell ref="A81:E81"/>
    <mergeCell ref="F81:J81"/>
    <mergeCell ref="A94:B94"/>
    <mergeCell ref="F94:G94"/>
    <mergeCell ref="A95:B95"/>
    <mergeCell ref="F95:G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68" activePane="bottomLeft" state="frozen"/>
      <selection pane="topLeft" activeCell="A1" activeCellId="0" sqref="A1"/>
      <selection pane="bottomLeft" activeCell="B193" activeCellId="0" sqref="B193"/>
    </sheetView>
  </sheetViews>
  <sheetFormatPr defaultColWidth="8.55859375" defaultRowHeight="14.25" zeroHeight="false" outlineLevelRow="0" outlineLevelCol="0"/>
  <cols>
    <col collapsed="false" customWidth="true" hidden="false" outlineLevel="0" max="1" min="1" style="0" width="32"/>
    <col collapsed="false" customWidth="true" hidden="false" outlineLevel="0" max="5" min="2" style="0" width="28"/>
    <col collapsed="false" customWidth="true" hidden="false" outlineLevel="0" max="6" min="6" style="0" width="27.78"/>
  </cols>
  <sheetData>
    <row r="1" customFormat="false" ht="30" hidden="false" customHeight="true" outlineLevel="0" collapsed="false">
      <c r="A1" s="44" t="s">
        <v>249</v>
      </c>
      <c r="B1" s="44"/>
      <c r="C1" s="44"/>
      <c r="D1" s="44"/>
      <c r="E1" s="44"/>
      <c r="F1" s="44"/>
    </row>
    <row r="3" customFormat="false" ht="19.5" hidden="false" customHeight="true" outlineLevel="0" collapsed="false">
      <c r="A3" s="45" t="s">
        <v>250</v>
      </c>
      <c r="B3" s="45"/>
      <c r="C3" s="45"/>
      <c r="D3" s="45"/>
      <c r="E3" s="45"/>
      <c r="F3" s="45"/>
    </row>
    <row r="4" customFormat="false" ht="18" hidden="false" customHeight="true" outlineLevel="0" collapsed="false">
      <c r="A4" s="46" t="s">
        <v>1</v>
      </c>
      <c r="B4" s="46" t="s">
        <v>2</v>
      </c>
      <c r="C4" s="46" t="s">
        <v>3</v>
      </c>
      <c r="D4" s="46" t="s">
        <v>4</v>
      </c>
      <c r="E4" s="46" t="s">
        <v>5</v>
      </c>
      <c r="F4" s="46" t="s">
        <v>7</v>
      </c>
    </row>
    <row r="5" customFormat="false" ht="15" hidden="false" customHeight="true" outlineLevel="0" collapsed="false">
      <c r="A5" s="47" t="n">
        <f aca="false">Sheet1!C2</f>
        <v>1001</v>
      </c>
      <c r="B5" s="47" t="str">
        <f aca="false">Sheet1!D2</f>
        <v>Student 1</v>
      </c>
      <c r="C5" s="47" t="n">
        <f aca="false">Sheet1!E2</f>
        <v>61</v>
      </c>
      <c r="D5" s="47" t="n">
        <f aca="false">Sheet1!F2</f>
        <v>48</v>
      </c>
      <c r="E5" s="47" t="n">
        <f aca="false">Sheet1!G2</f>
        <v>76</v>
      </c>
      <c r="F5" s="48" t="str">
        <f aca="false">IF(Sheet1!E2&gt;=90,"A",IF(Sheet1!E2&gt;=75,"B",IF(Sheet1!E2&gt;=60,"C","F")))</f>
        <v>C</v>
      </c>
    </row>
    <row r="6" customFormat="false" ht="15" hidden="false" customHeight="true" outlineLevel="0" collapsed="false">
      <c r="A6" s="47" t="n">
        <f aca="false">Sheet1!C3</f>
        <v>1002</v>
      </c>
      <c r="B6" s="47" t="str">
        <f aca="false">Sheet1!D3</f>
        <v>Student 2</v>
      </c>
      <c r="C6" s="47" t="n">
        <f aca="false">Sheet1!E3</f>
        <v>78</v>
      </c>
      <c r="D6" s="47" t="n">
        <f aca="false">Sheet1!F3</f>
        <v>76</v>
      </c>
      <c r="E6" s="47" t="n">
        <f aca="false">Sheet1!G3</f>
        <v>70</v>
      </c>
      <c r="F6" s="48" t="str">
        <f aca="false">IF(Sheet1!E3&gt;=90,"A",IF(Sheet1!E3&gt;=75,"B",IF(Sheet1!E3&gt;=60,"C","F")))</f>
        <v>B</v>
      </c>
    </row>
    <row r="7" customFormat="false" ht="15" hidden="false" customHeight="true" outlineLevel="0" collapsed="false">
      <c r="A7" s="47" t="n">
        <f aca="false">Sheet1!C4</f>
        <v>1003</v>
      </c>
      <c r="B7" s="47" t="str">
        <f aca="false">Sheet1!D4</f>
        <v>Student 3</v>
      </c>
      <c r="C7" s="47" t="n">
        <f aca="false">Sheet1!E4</f>
        <v>97</v>
      </c>
      <c r="D7" s="47" t="n">
        <f aca="false">Sheet1!F4</f>
        <v>60</v>
      </c>
      <c r="E7" s="47" t="n">
        <f aca="false">Sheet1!G4</f>
        <v>51</v>
      </c>
      <c r="F7" s="48" t="str">
        <f aca="false">IF(Sheet1!E4&gt;=90,"A",IF(Sheet1!E4&gt;=75,"B",IF(Sheet1!E4&gt;=60,"C","F")))</f>
        <v>A</v>
      </c>
    </row>
    <row r="8" customFormat="false" ht="15" hidden="false" customHeight="true" outlineLevel="0" collapsed="false">
      <c r="A8" s="47" t="n">
        <f aca="false">Sheet1!C5</f>
        <v>1004</v>
      </c>
      <c r="B8" s="47" t="str">
        <f aca="false">Sheet1!D5</f>
        <v>Student 4</v>
      </c>
      <c r="C8" s="47" t="n">
        <f aca="false">Sheet1!E5</f>
        <v>74</v>
      </c>
      <c r="D8" s="47" t="n">
        <f aca="false">Sheet1!F5</f>
        <v>55</v>
      </c>
      <c r="E8" s="47" t="n">
        <f aca="false">Sheet1!G5</f>
        <v>46</v>
      </c>
      <c r="F8" s="48" t="str">
        <f aca="false">IF(Sheet1!E5&gt;=90,"A",IF(Sheet1!E5&gt;=75,"B",IF(Sheet1!E5&gt;=60,"C","F")))</f>
        <v>C</v>
      </c>
    </row>
    <row r="9" customFormat="false" ht="15" hidden="false" customHeight="true" outlineLevel="0" collapsed="false">
      <c r="A9" s="47" t="n">
        <f aca="false">Sheet1!C6</f>
        <v>1005</v>
      </c>
      <c r="B9" s="47" t="str">
        <f aca="false">Sheet1!D6</f>
        <v>Student 5</v>
      </c>
      <c r="C9" s="47" t="n">
        <f aca="false">Sheet1!E6</f>
        <v>68</v>
      </c>
      <c r="D9" s="47" t="n">
        <f aca="false">Sheet1!F6</f>
        <v>74</v>
      </c>
      <c r="E9" s="47" t="n">
        <f aca="false">Sheet1!G6</f>
        <v>84</v>
      </c>
      <c r="F9" s="48" t="str">
        <f aca="false">IF(Sheet1!E6&gt;=90,"A",IF(Sheet1!E6&gt;=75,"B",IF(Sheet1!E6&gt;=60,"C","F")))</f>
        <v>C</v>
      </c>
    </row>
    <row r="10" customFormat="false" ht="15" hidden="false" customHeight="true" outlineLevel="0" collapsed="false">
      <c r="A10" s="47" t="n">
        <f aca="false">Sheet1!C7</f>
        <v>1006</v>
      </c>
      <c r="B10" s="47" t="str">
        <f aca="false">Sheet1!D7</f>
        <v>Student 6</v>
      </c>
      <c r="C10" s="47" t="n">
        <f aca="false">Sheet1!E7</f>
        <v>80</v>
      </c>
      <c r="D10" s="47" t="n">
        <f aca="false">Sheet1!F7</f>
        <v>70</v>
      </c>
      <c r="E10" s="47" t="n">
        <f aca="false">Sheet1!G7</f>
        <v>65</v>
      </c>
      <c r="F10" s="48" t="str">
        <f aca="false">IF(Sheet1!E7&gt;=90,"A",IF(Sheet1!E7&gt;=75,"B",IF(Sheet1!E7&gt;=60,"C","F")))</f>
        <v>B</v>
      </c>
    </row>
    <row r="11" customFormat="false" ht="15" hidden="false" customHeight="true" outlineLevel="0" collapsed="false">
      <c r="A11" s="47" t="n">
        <f aca="false">Sheet1!C8</f>
        <v>1007</v>
      </c>
      <c r="B11" s="47" t="str">
        <f aca="false">Sheet1!D8</f>
        <v>Student 7</v>
      </c>
      <c r="C11" s="47" t="n">
        <f aca="false">Sheet1!E8</f>
        <v>75</v>
      </c>
      <c r="D11" s="47" t="n">
        <f aca="false">Sheet1!F8</f>
        <v>47</v>
      </c>
      <c r="E11" s="47" t="n">
        <f aca="false">Sheet1!G8</f>
        <v>78</v>
      </c>
      <c r="F11" s="48" t="str">
        <f aca="false">IF(Sheet1!E8&gt;=90,"A",IF(Sheet1!E8&gt;=75,"B",IF(Sheet1!E8&gt;=60,"C","F")))</f>
        <v>B</v>
      </c>
    </row>
    <row r="12" customFormat="false" ht="15" hidden="false" customHeight="true" outlineLevel="0" collapsed="false">
      <c r="A12" s="47" t="n">
        <f aca="false">Sheet1!C9</f>
        <v>1008</v>
      </c>
      <c r="B12" s="47" t="str">
        <f aca="false">Sheet1!D9</f>
        <v>Student 8</v>
      </c>
      <c r="C12" s="47" t="n">
        <f aca="false">Sheet1!E9</f>
        <v>94</v>
      </c>
      <c r="D12" s="47" t="n">
        <f aca="false">Sheet1!F9</f>
        <v>67</v>
      </c>
      <c r="E12" s="47" t="n">
        <f aca="false">Sheet1!G9</f>
        <v>64</v>
      </c>
      <c r="F12" s="48" t="str">
        <f aca="false">IF(Sheet1!E9&gt;=90,"A",IF(Sheet1!E9&gt;=75,"B",IF(Sheet1!E9&gt;=60,"C","F")))</f>
        <v>A</v>
      </c>
    </row>
    <row r="13" customFormat="false" ht="15" hidden="false" customHeight="true" outlineLevel="0" collapsed="false">
      <c r="A13" s="47" t="n">
        <f aca="false">Sheet1!C10</f>
        <v>1009</v>
      </c>
      <c r="B13" s="47" t="str">
        <f aca="false">Sheet1!D10</f>
        <v>Student 9</v>
      </c>
      <c r="C13" s="47" t="n">
        <f aca="false">Sheet1!E10</f>
        <v>41</v>
      </c>
      <c r="D13" s="47" t="n">
        <f aca="false">Sheet1!F10</f>
        <v>75</v>
      </c>
      <c r="E13" s="47" t="n">
        <f aca="false">Sheet1!G10</f>
        <v>56</v>
      </c>
      <c r="F13" s="48" t="str">
        <f aca="false">IF(Sheet1!E10&gt;=90,"A",IF(Sheet1!E10&gt;=75,"B",IF(Sheet1!E10&gt;=60,"C","F")))</f>
        <v>F</v>
      </c>
    </row>
    <row r="14" customFormat="false" ht="15" hidden="false" customHeight="true" outlineLevel="0" collapsed="false">
      <c r="A14" s="47" t="n">
        <f aca="false">Sheet1!C11</f>
        <v>1010</v>
      </c>
      <c r="B14" s="47" t="str">
        <f aca="false">Sheet1!D11</f>
        <v>Student 10</v>
      </c>
      <c r="C14" s="47" t="n">
        <f aca="false">Sheet1!E11</f>
        <v>98</v>
      </c>
      <c r="D14" s="47" t="n">
        <f aca="false">Sheet1!F11</f>
        <v>54</v>
      </c>
      <c r="E14" s="47" t="n">
        <f aca="false">Sheet1!G11</f>
        <v>58</v>
      </c>
      <c r="F14" s="48" t="str">
        <f aca="false">IF(Sheet1!E11&gt;=90,"A",IF(Sheet1!E11&gt;=75,"B",IF(Sheet1!E11&gt;=60,"C","F")))</f>
        <v>A</v>
      </c>
    </row>
    <row r="15" customFormat="false" ht="15" hidden="false" customHeight="true" outlineLevel="0" collapsed="false">
      <c r="A15" s="47" t="n">
        <f aca="false">Sheet1!C12</f>
        <v>1011</v>
      </c>
      <c r="B15" s="47" t="str">
        <f aca="false">Sheet1!D12</f>
        <v>Student 11</v>
      </c>
      <c r="C15" s="47" t="n">
        <f aca="false">Sheet1!E12</f>
        <v>73</v>
      </c>
      <c r="D15" s="47" t="n">
        <f aca="false">Sheet1!F12</f>
        <v>79</v>
      </c>
      <c r="E15" s="47" t="n">
        <f aca="false">Sheet1!G12</f>
        <v>53</v>
      </c>
      <c r="F15" s="48" t="str">
        <f aca="false">IF(Sheet1!E12&gt;=90,"A",IF(Sheet1!E12&gt;=75,"B",IF(Sheet1!E12&gt;=60,"C","F")))</f>
        <v>C</v>
      </c>
    </row>
    <row r="16" customFormat="false" ht="15" hidden="false" customHeight="true" outlineLevel="0" collapsed="false">
      <c r="A16" s="47" t="n">
        <f aca="false">Sheet1!C13</f>
        <v>1012</v>
      </c>
      <c r="B16" s="47" t="str">
        <f aca="false">Sheet1!D13</f>
        <v>Student 12</v>
      </c>
      <c r="C16" s="47" t="n">
        <f aca="false">Sheet1!E13</f>
        <v>85</v>
      </c>
      <c r="D16" s="47" t="n">
        <f aca="false">Sheet1!F13</f>
        <v>89</v>
      </c>
      <c r="E16" s="47" t="n">
        <f aca="false">Sheet1!G13</f>
        <v>79</v>
      </c>
      <c r="F16" s="48" t="str">
        <f aca="false">IF(Sheet1!E13&gt;=90,"A",IF(Sheet1!E13&gt;=75,"B",IF(Sheet1!E13&gt;=60,"C","F")))</f>
        <v>B</v>
      </c>
    </row>
    <row r="17" customFormat="false" ht="15" hidden="false" customHeight="true" outlineLevel="0" collapsed="false">
      <c r="A17" s="47" t="n">
        <f aca="false">Sheet1!C14</f>
        <v>1013</v>
      </c>
      <c r="B17" s="47" t="str">
        <f aca="false">Sheet1!D14</f>
        <v>Student 13</v>
      </c>
      <c r="C17" s="47" t="n">
        <f aca="false">Sheet1!E14</f>
        <v>98</v>
      </c>
      <c r="D17" s="47" t="n">
        <f aca="false">Sheet1!F14</f>
        <v>90</v>
      </c>
      <c r="E17" s="47" t="n">
        <f aca="false">Sheet1!G14</f>
        <v>97</v>
      </c>
      <c r="F17" s="48" t="str">
        <f aca="false">IF(Sheet1!E14&gt;=90,"A",IF(Sheet1!E14&gt;=75,"B",IF(Sheet1!E14&gt;=60,"C","F")))</f>
        <v>A</v>
      </c>
    </row>
    <row r="18" customFormat="false" ht="15" hidden="false" customHeight="true" outlineLevel="0" collapsed="false">
      <c r="A18" s="47" t="n">
        <f aca="false">Sheet1!C15</f>
        <v>1014</v>
      </c>
      <c r="B18" s="47" t="str">
        <f aca="false">Sheet1!D15</f>
        <v>Student 14</v>
      </c>
      <c r="C18" s="47" t="n">
        <f aca="false">Sheet1!E15</f>
        <v>93</v>
      </c>
      <c r="D18" s="47" t="n">
        <f aca="false">Sheet1!F15</f>
        <v>40</v>
      </c>
      <c r="E18" s="47" t="n">
        <f aca="false">Sheet1!G15</f>
        <v>44</v>
      </c>
      <c r="F18" s="48" t="str">
        <f aca="false">IF(Sheet1!E15&gt;=90,"A",IF(Sheet1!E15&gt;=75,"B",IF(Sheet1!E15&gt;=60,"C","F")))</f>
        <v>A</v>
      </c>
    </row>
    <row r="19" customFormat="false" ht="15" hidden="false" customHeight="true" outlineLevel="0" collapsed="false">
      <c r="A19" s="47" t="n">
        <f aca="false">Sheet1!C16</f>
        <v>1015</v>
      </c>
      <c r="B19" s="47" t="str">
        <f aca="false">Sheet1!D16</f>
        <v>Student 15</v>
      </c>
      <c r="C19" s="47" t="n">
        <f aca="false">Sheet1!E16</f>
        <v>70</v>
      </c>
      <c r="D19" s="47" t="n">
        <f aca="false">Sheet1!F16</f>
        <v>51</v>
      </c>
      <c r="E19" s="47" t="n">
        <f aca="false">Sheet1!G16</f>
        <v>75</v>
      </c>
      <c r="F19" s="48" t="str">
        <f aca="false">IF(Sheet1!E16&gt;=90,"A",IF(Sheet1!E16&gt;=75,"B",IF(Sheet1!E16&gt;=60,"C","F")))</f>
        <v>C</v>
      </c>
    </row>
    <row r="20" customFormat="false" ht="15" hidden="false" customHeight="true" outlineLevel="0" collapsed="false">
      <c r="A20" s="47" t="n">
        <f aca="false">Sheet1!C17</f>
        <v>1016</v>
      </c>
      <c r="B20" s="47" t="str">
        <f aca="false">Sheet1!D17</f>
        <v>Student 16</v>
      </c>
      <c r="C20" s="47" t="n">
        <f aca="false">Sheet1!E17</f>
        <v>98</v>
      </c>
      <c r="D20" s="47" t="n">
        <f aca="false">Sheet1!F17</f>
        <v>77</v>
      </c>
      <c r="E20" s="47" t="n">
        <f aca="false">Sheet1!G17</f>
        <v>60</v>
      </c>
      <c r="F20" s="48" t="str">
        <f aca="false">IF(Sheet1!E17&gt;=90,"A",IF(Sheet1!E17&gt;=75,"B",IF(Sheet1!E17&gt;=60,"C","F")))</f>
        <v>A</v>
      </c>
    </row>
    <row r="21" customFormat="false" ht="15" hidden="false" customHeight="true" outlineLevel="0" collapsed="false">
      <c r="A21" s="47" t="n">
        <f aca="false">Sheet1!C18</f>
        <v>1017</v>
      </c>
      <c r="B21" s="47" t="str">
        <f aca="false">Sheet1!D18</f>
        <v>Student 17</v>
      </c>
      <c r="C21" s="47" t="n">
        <f aca="false">Sheet1!E18</f>
        <v>66</v>
      </c>
      <c r="D21" s="47" t="n">
        <f aca="false">Sheet1!F18</f>
        <v>59</v>
      </c>
      <c r="E21" s="47" t="n">
        <f aca="false">Sheet1!G18</f>
        <v>40</v>
      </c>
      <c r="F21" s="48" t="str">
        <f aca="false">IF(Sheet1!E18&gt;=90,"A",IF(Sheet1!E18&gt;=75,"B",IF(Sheet1!E18&gt;=60,"C","F")))</f>
        <v>C</v>
      </c>
    </row>
    <row r="22" customFormat="false" ht="15" hidden="false" customHeight="true" outlineLevel="0" collapsed="false">
      <c r="A22" s="47" t="n">
        <f aca="false">Sheet1!C19</f>
        <v>1018</v>
      </c>
      <c r="B22" s="47" t="str">
        <f aca="false">Sheet1!D19</f>
        <v>Student 18</v>
      </c>
      <c r="C22" s="47" t="n">
        <f aca="false">Sheet1!E19</f>
        <v>82</v>
      </c>
      <c r="D22" s="47" t="n">
        <f aca="false">Sheet1!F19</f>
        <v>48</v>
      </c>
      <c r="E22" s="47" t="n">
        <f aca="false">Sheet1!G19</f>
        <v>79</v>
      </c>
      <c r="F22" s="48" t="str">
        <f aca="false">IF(Sheet1!E19&gt;=90,"A",IF(Sheet1!E19&gt;=75,"B",IF(Sheet1!E19&gt;=60,"C","F")))</f>
        <v>B</v>
      </c>
    </row>
    <row r="23" customFormat="false" ht="15" hidden="false" customHeight="true" outlineLevel="0" collapsed="false">
      <c r="A23" s="47" t="n">
        <f aca="false">Sheet1!C20</f>
        <v>1019</v>
      </c>
      <c r="B23" s="47" t="str">
        <f aca="false">Sheet1!D20</f>
        <v>Student 19</v>
      </c>
      <c r="C23" s="47" t="n">
        <f aca="false">Sheet1!E20</f>
        <v>90</v>
      </c>
      <c r="D23" s="47" t="n">
        <f aca="false">Sheet1!F20</f>
        <v>78</v>
      </c>
      <c r="E23" s="47" t="n">
        <f aca="false">Sheet1!G20</f>
        <v>60</v>
      </c>
      <c r="F23" s="48" t="str">
        <f aca="false">IF(Sheet1!E20&gt;=90,"A",IF(Sheet1!E20&gt;=75,"B",IF(Sheet1!E20&gt;=60,"C","F")))</f>
        <v>A</v>
      </c>
    </row>
    <row r="24" customFormat="false" ht="15" hidden="false" customHeight="true" outlineLevel="0" collapsed="false">
      <c r="A24" s="47" t="n">
        <f aca="false">Sheet1!C21</f>
        <v>1020</v>
      </c>
      <c r="B24" s="47" t="str">
        <f aca="false">Sheet1!D21</f>
        <v>Student 20</v>
      </c>
      <c r="C24" s="47" t="n">
        <f aca="false">Sheet1!E21</f>
        <v>83</v>
      </c>
      <c r="D24" s="47" t="n">
        <f aca="false">Sheet1!F21</f>
        <v>92</v>
      </c>
      <c r="E24" s="47" t="n">
        <f aca="false">Sheet1!G21</f>
        <v>55</v>
      </c>
      <c r="F24" s="48" t="str">
        <f aca="false">IF(Sheet1!E21&gt;=90,"A",IF(Sheet1!E21&gt;=75,"B",IF(Sheet1!E21&gt;=60,"C","F")))</f>
        <v>B</v>
      </c>
    </row>
    <row r="26" customFormat="false" ht="19.5" hidden="false" customHeight="true" outlineLevel="0" collapsed="false">
      <c r="A26" s="45" t="s">
        <v>251</v>
      </c>
      <c r="B26" s="45"/>
      <c r="C26" s="45"/>
      <c r="D26" s="45"/>
      <c r="E26" s="45"/>
      <c r="F26" s="45"/>
    </row>
    <row r="27" customFormat="false" ht="18" hidden="false" customHeight="true" outlineLevel="0" collapsed="false">
      <c r="A27" s="46" t="s">
        <v>1</v>
      </c>
      <c r="B27" s="46" t="s">
        <v>2</v>
      </c>
      <c r="C27" s="46" t="s">
        <v>3</v>
      </c>
      <c r="D27" s="46" t="s">
        <v>4</v>
      </c>
      <c r="E27" s="46" t="s">
        <v>5</v>
      </c>
      <c r="F27" s="46" t="s">
        <v>252</v>
      </c>
    </row>
    <row r="28" customFormat="false" ht="15" hidden="false" customHeight="true" outlineLevel="0" collapsed="false">
      <c r="A28" s="47" t="n">
        <f aca="false">Sheet1!C2</f>
        <v>1001</v>
      </c>
      <c r="B28" s="47" t="str">
        <f aca="false">Sheet1!D2</f>
        <v>Student 1</v>
      </c>
      <c r="C28" s="47" t="n">
        <f aca="false">Sheet1!E2</f>
        <v>61</v>
      </c>
      <c r="D28" s="47" t="n">
        <f aca="false">Sheet1!F2</f>
        <v>48</v>
      </c>
      <c r="E28" s="47" t="n">
        <f aca="false">Sheet1!G2</f>
        <v>76</v>
      </c>
      <c r="F28" s="48" t="str">
        <f aca="false">IF(AND(Sheet1!E2&gt;80,Sheet1!F2&gt;80),"Yes","No")</f>
        <v>No</v>
      </c>
    </row>
    <row r="29" customFormat="false" ht="15" hidden="false" customHeight="true" outlineLevel="0" collapsed="false">
      <c r="A29" s="47" t="n">
        <f aca="false">Sheet1!C3</f>
        <v>1002</v>
      </c>
      <c r="B29" s="47" t="str">
        <f aca="false">Sheet1!D3</f>
        <v>Student 2</v>
      </c>
      <c r="C29" s="47" t="n">
        <f aca="false">Sheet1!E3</f>
        <v>78</v>
      </c>
      <c r="D29" s="47" t="n">
        <f aca="false">Sheet1!F3</f>
        <v>76</v>
      </c>
      <c r="E29" s="47" t="n">
        <f aca="false">Sheet1!G3</f>
        <v>70</v>
      </c>
      <c r="F29" s="48" t="str">
        <f aca="false">IF(AND(Sheet1!E3&gt;80,Sheet1!F3&gt;80),"Yes","No")</f>
        <v>No</v>
      </c>
    </row>
    <row r="30" customFormat="false" ht="15" hidden="false" customHeight="true" outlineLevel="0" collapsed="false">
      <c r="A30" s="47" t="n">
        <f aca="false">Sheet1!C4</f>
        <v>1003</v>
      </c>
      <c r="B30" s="47" t="str">
        <f aca="false">Sheet1!D4</f>
        <v>Student 3</v>
      </c>
      <c r="C30" s="47" t="n">
        <f aca="false">Sheet1!E4</f>
        <v>97</v>
      </c>
      <c r="D30" s="47" t="n">
        <f aca="false">Sheet1!F4</f>
        <v>60</v>
      </c>
      <c r="E30" s="47" t="n">
        <f aca="false">Sheet1!G4</f>
        <v>51</v>
      </c>
      <c r="F30" s="48" t="str">
        <f aca="false">IF(AND(Sheet1!E4&gt;80,Sheet1!F4&gt;80),"Yes","No")</f>
        <v>No</v>
      </c>
    </row>
    <row r="31" customFormat="false" ht="15" hidden="false" customHeight="true" outlineLevel="0" collapsed="false">
      <c r="A31" s="47" t="n">
        <f aca="false">Sheet1!C5</f>
        <v>1004</v>
      </c>
      <c r="B31" s="47" t="str">
        <f aca="false">Sheet1!D5</f>
        <v>Student 4</v>
      </c>
      <c r="C31" s="47" t="n">
        <f aca="false">Sheet1!E5</f>
        <v>74</v>
      </c>
      <c r="D31" s="47" t="n">
        <f aca="false">Sheet1!F5</f>
        <v>55</v>
      </c>
      <c r="E31" s="47" t="n">
        <f aca="false">Sheet1!G5</f>
        <v>46</v>
      </c>
      <c r="F31" s="48" t="str">
        <f aca="false">IF(AND(Sheet1!E5&gt;80,Sheet1!F5&gt;80),"Yes","No")</f>
        <v>No</v>
      </c>
    </row>
    <row r="32" customFormat="false" ht="15" hidden="false" customHeight="true" outlineLevel="0" collapsed="false">
      <c r="A32" s="47" t="n">
        <f aca="false">Sheet1!C6</f>
        <v>1005</v>
      </c>
      <c r="B32" s="47" t="str">
        <f aca="false">Sheet1!D6</f>
        <v>Student 5</v>
      </c>
      <c r="C32" s="47" t="n">
        <f aca="false">Sheet1!E6</f>
        <v>68</v>
      </c>
      <c r="D32" s="47" t="n">
        <f aca="false">Sheet1!F6</f>
        <v>74</v>
      </c>
      <c r="E32" s="47" t="n">
        <f aca="false">Sheet1!G6</f>
        <v>84</v>
      </c>
      <c r="F32" s="48" t="str">
        <f aca="false">IF(AND(Sheet1!E6&gt;80,Sheet1!F6&gt;80),"Yes","No")</f>
        <v>No</v>
      </c>
    </row>
    <row r="33" customFormat="false" ht="15" hidden="false" customHeight="true" outlineLevel="0" collapsed="false">
      <c r="A33" s="47" t="n">
        <f aca="false">Sheet1!C7</f>
        <v>1006</v>
      </c>
      <c r="B33" s="47" t="str">
        <f aca="false">Sheet1!D7</f>
        <v>Student 6</v>
      </c>
      <c r="C33" s="47" t="n">
        <f aca="false">Sheet1!E7</f>
        <v>80</v>
      </c>
      <c r="D33" s="47" t="n">
        <f aca="false">Sheet1!F7</f>
        <v>70</v>
      </c>
      <c r="E33" s="47" t="n">
        <f aca="false">Sheet1!G7</f>
        <v>65</v>
      </c>
      <c r="F33" s="48" t="str">
        <f aca="false">IF(AND(Sheet1!E7&gt;80,Sheet1!F7&gt;80),"Yes","No")</f>
        <v>No</v>
      </c>
    </row>
    <row r="34" customFormat="false" ht="15" hidden="false" customHeight="true" outlineLevel="0" collapsed="false">
      <c r="A34" s="47" t="n">
        <f aca="false">Sheet1!C8</f>
        <v>1007</v>
      </c>
      <c r="B34" s="47" t="str">
        <f aca="false">Sheet1!D8</f>
        <v>Student 7</v>
      </c>
      <c r="C34" s="47" t="n">
        <f aca="false">Sheet1!E8</f>
        <v>75</v>
      </c>
      <c r="D34" s="47" t="n">
        <f aca="false">Sheet1!F8</f>
        <v>47</v>
      </c>
      <c r="E34" s="47" t="n">
        <f aca="false">Sheet1!G8</f>
        <v>78</v>
      </c>
      <c r="F34" s="48" t="str">
        <f aca="false">IF(AND(Sheet1!E8&gt;80,Sheet1!F8&gt;80),"Yes","No")</f>
        <v>No</v>
      </c>
    </row>
    <row r="35" customFormat="false" ht="15" hidden="false" customHeight="true" outlineLevel="0" collapsed="false">
      <c r="A35" s="47" t="n">
        <f aca="false">Sheet1!C9</f>
        <v>1008</v>
      </c>
      <c r="B35" s="47" t="str">
        <f aca="false">Sheet1!D9</f>
        <v>Student 8</v>
      </c>
      <c r="C35" s="47" t="n">
        <f aca="false">Sheet1!E9</f>
        <v>94</v>
      </c>
      <c r="D35" s="47" t="n">
        <f aca="false">Sheet1!F9</f>
        <v>67</v>
      </c>
      <c r="E35" s="47" t="n">
        <f aca="false">Sheet1!G9</f>
        <v>64</v>
      </c>
      <c r="F35" s="48" t="str">
        <f aca="false">IF(AND(Sheet1!E9&gt;80,Sheet1!F9&gt;80),"Yes","No")</f>
        <v>No</v>
      </c>
    </row>
    <row r="36" customFormat="false" ht="15" hidden="false" customHeight="true" outlineLevel="0" collapsed="false">
      <c r="A36" s="47" t="n">
        <f aca="false">Sheet1!C10</f>
        <v>1009</v>
      </c>
      <c r="B36" s="47" t="str">
        <f aca="false">Sheet1!D10</f>
        <v>Student 9</v>
      </c>
      <c r="C36" s="47" t="n">
        <f aca="false">Sheet1!E10</f>
        <v>41</v>
      </c>
      <c r="D36" s="47" t="n">
        <f aca="false">Sheet1!F10</f>
        <v>75</v>
      </c>
      <c r="E36" s="47" t="n">
        <f aca="false">Sheet1!G10</f>
        <v>56</v>
      </c>
      <c r="F36" s="48" t="str">
        <f aca="false">IF(AND(Sheet1!E10&gt;80,Sheet1!F10&gt;80),"Yes","No")</f>
        <v>No</v>
      </c>
    </row>
    <row r="37" customFormat="false" ht="15" hidden="false" customHeight="true" outlineLevel="0" collapsed="false">
      <c r="A37" s="47" t="n">
        <f aca="false">Sheet1!C11</f>
        <v>1010</v>
      </c>
      <c r="B37" s="47" t="str">
        <f aca="false">Sheet1!D11</f>
        <v>Student 10</v>
      </c>
      <c r="C37" s="47" t="n">
        <f aca="false">Sheet1!E11</f>
        <v>98</v>
      </c>
      <c r="D37" s="47" t="n">
        <f aca="false">Sheet1!F11</f>
        <v>54</v>
      </c>
      <c r="E37" s="47" t="n">
        <f aca="false">Sheet1!G11</f>
        <v>58</v>
      </c>
      <c r="F37" s="48" t="str">
        <f aca="false">IF(AND(Sheet1!E11&gt;80,Sheet1!F11&gt;80),"Yes","No")</f>
        <v>No</v>
      </c>
    </row>
    <row r="38" customFormat="false" ht="15" hidden="false" customHeight="true" outlineLevel="0" collapsed="false">
      <c r="A38" s="47" t="n">
        <f aca="false">Sheet1!C12</f>
        <v>1011</v>
      </c>
      <c r="B38" s="47" t="str">
        <f aca="false">Sheet1!D12</f>
        <v>Student 11</v>
      </c>
      <c r="C38" s="47" t="n">
        <f aca="false">Sheet1!E12</f>
        <v>73</v>
      </c>
      <c r="D38" s="47" t="n">
        <f aca="false">Sheet1!F12</f>
        <v>79</v>
      </c>
      <c r="E38" s="47" t="n">
        <f aca="false">Sheet1!G12</f>
        <v>53</v>
      </c>
      <c r="F38" s="48" t="str">
        <f aca="false">IF(AND(Sheet1!E12&gt;80,Sheet1!F12&gt;80),"Yes","No")</f>
        <v>No</v>
      </c>
    </row>
    <row r="39" customFormat="false" ht="15" hidden="false" customHeight="true" outlineLevel="0" collapsed="false">
      <c r="A39" s="47" t="n">
        <f aca="false">Sheet1!C13</f>
        <v>1012</v>
      </c>
      <c r="B39" s="47" t="str">
        <f aca="false">Sheet1!D13</f>
        <v>Student 12</v>
      </c>
      <c r="C39" s="47" t="n">
        <f aca="false">Sheet1!E13</f>
        <v>85</v>
      </c>
      <c r="D39" s="47" t="n">
        <f aca="false">Sheet1!F13</f>
        <v>89</v>
      </c>
      <c r="E39" s="47" t="n">
        <f aca="false">Sheet1!G13</f>
        <v>79</v>
      </c>
      <c r="F39" s="48" t="str">
        <f aca="false">IF(AND(Sheet1!E13&gt;80,Sheet1!F13&gt;80),"Yes","No")</f>
        <v>Yes</v>
      </c>
    </row>
    <row r="40" customFormat="false" ht="15" hidden="false" customHeight="true" outlineLevel="0" collapsed="false">
      <c r="A40" s="47" t="n">
        <f aca="false">Sheet1!C14</f>
        <v>1013</v>
      </c>
      <c r="B40" s="47" t="str">
        <f aca="false">Sheet1!D14</f>
        <v>Student 13</v>
      </c>
      <c r="C40" s="47" t="n">
        <f aca="false">Sheet1!E14</f>
        <v>98</v>
      </c>
      <c r="D40" s="47" t="n">
        <f aca="false">Sheet1!F14</f>
        <v>90</v>
      </c>
      <c r="E40" s="47" t="n">
        <f aca="false">Sheet1!G14</f>
        <v>97</v>
      </c>
      <c r="F40" s="48" t="str">
        <f aca="false">IF(AND(Sheet1!E14&gt;80,Sheet1!F14&gt;80),"Yes","No")</f>
        <v>Yes</v>
      </c>
    </row>
    <row r="41" customFormat="false" ht="15" hidden="false" customHeight="true" outlineLevel="0" collapsed="false">
      <c r="A41" s="47" t="n">
        <f aca="false">Sheet1!C15</f>
        <v>1014</v>
      </c>
      <c r="B41" s="47" t="str">
        <f aca="false">Sheet1!D15</f>
        <v>Student 14</v>
      </c>
      <c r="C41" s="47" t="n">
        <f aca="false">Sheet1!E15</f>
        <v>93</v>
      </c>
      <c r="D41" s="47" t="n">
        <f aca="false">Sheet1!F15</f>
        <v>40</v>
      </c>
      <c r="E41" s="47" t="n">
        <f aca="false">Sheet1!G15</f>
        <v>44</v>
      </c>
      <c r="F41" s="48" t="str">
        <f aca="false">IF(AND(Sheet1!E15&gt;80,Sheet1!F15&gt;80),"Yes","No")</f>
        <v>No</v>
      </c>
    </row>
    <row r="42" customFormat="false" ht="15" hidden="false" customHeight="true" outlineLevel="0" collapsed="false">
      <c r="A42" s="47" t="n">
        <f aca="false">Sheet1!C16</f>
        <v>1015</v>
      </c>
      <c r="B42" s="47" t="str">
        <f aca="false">Sheet1!D16</f>
        <v>Student 15</v>
      </c>
      <c r="C42" s="47" t="n">
        <f aca="false">Sheet1!E16</f>
        <v>70</v>
      </c>
      <c r="D42" s="47" t="n">
        <f aca="false">Sheet1!F16</f>
        <v>51</v>
      </c>
      <c r="E42" s="47" t="n">
        <f aca="false">Sheet1!G16</f>
        <v>75</v>
      </c>
      <c r="F42" s="48" t="str">
        <f aca="false">IF(AND(Sheet1!E16&gt;80,Sheet1!F16&gt;80),"Yes","No")</f>
        <v>No</v>
      </c>
    </row>
    <row r="43" customFormat="false" ht="15" hidden="false" customHeight="true" outlineLevel="0" collapsed="false">
      <c r="A43" s="47" t="n">
        <f aca="false">Sheet1!C17</f>
        <v>1016</v>
      </c>
      <c r="B43" s="47" t="str">
        <f aca="false">Sheet1!D17</f>
        <v>Student 16</v>
      </c>
      <c r="C43" s="47" t="n">
        <f aca="false">Sheet1!E17</f>
        <v>98</v>
      </c>
      <c r="D43" s="47" t="n">
        <f aca="false">Sheet1!F17</f>
        <v>77</v>
      </c>
      <c r="E43" s="47" t="n">
        <f aca="false">Sheet1!G17</f>
        <v>60</v>
      </c>
      <c r="F43" s="48" t="str">
        <f aca="false">IF(AND(Sheet1!E17&gt;80,Sheet1!F17&gt;80),"Yes","No")</f>
        <v>No</v>
      </c>
    </row>
    <row r="44" customFormat="false" ht="15" hidden="false" customHeight="true" outlineLevel="0" collapsed="false">
      <c r="A44" s="47" t="n">
        <f aca="false">Sheet1!C18</f>
        <v>1017</v>
      </c>
      <c r="B44" s="47" t="str">
        <f aca="false">Sheet1!D18</f>
        <v>Student 17</v>
      </c>
      <c r="C44" s="47" t="n">
        <f aca="false">Sheet1!E18</f>
        <v>66</v>
      </c>
      <c r="D44" s="47" t="n">
        <f aca="false">Sheet1!F18</f>
        <v>59</v>
      </c>
      <c r="E44" s="47" t="n">
        <f aca="false">Sheet1!G18</f>
        <v>40</v>
      </c>
      <c r="F44" s="48" t="str">
        <f aca="false">IF(AND(Sheet1!E18&gt;80,Sheet1!F18&gt;80),"Yes","No")</f>
        <v>No</v>
      </c>
    </row>
    <row r="45" customFormat="false" ht="15" hidden="false" customHeight="true" outlineLevel="0" collapsed="false">
      <c r="A45" s="47" t="n">
        <f aca="false">Sheet1!C19</f>
        <v>1018</v>
      </c>
      <c r="B45" s="47" t="str">
        <f aca="false">Sheet1!D19</f>
        <v>Student 18</v>
      </c>
      <c r="C45" s="47" t="n">
        <f aca="false">Sheet1!E19</f>
        <v>82</v>
      </c>
      <c r="D45" s="47" t="n">
        <f aca="false">Sheet1!F19</f>
        <v>48</v>
      </c>
      <c r="E45" s="47" t="n">
        <f aca="false">Sheet1!G19</f>
        <v>79</v>
      </c>
      <c r="F45" s="48" t="str">
        <f aca="false">IF(AND(Sheet1!E19&gt;80,Sheet1!F19&gt;80),"Yes","No")</f>
        <v>No</v>
      </c>
    </row>
    <row r="46" customFormat="false" ht="15" hidden="false" customHeight="true" outlineLevel="0" collapsed="false">
      <c r="A46" s="47" t="n">
        <f aca="false">Sheet1!C20</f>
        <v>1019</v>
      </c>
      <c r="B46" s="47" t="str">
        <f aca="false">Sheet1!D20</f>
        <v>Student 19</v>
      </c>
      <c r="C46" s="47" t="n">
        <f aca="false">Sheet1!E20</f>
        <v>90</v>
      </c>
      <c r="D46" s="47" t="n">
        <f aca="false">Sheet1!F20</f>
        <v>78</v>
      </c>
      <c r="E46" s="47" t="n">
        <f aca="false">Sheet1!G20</f>
        <v>60</v>
      </c>
      <c r="F46" s="48" t="str">
        <f aca="false">IF(AND(Sheet1!E20&gt;80,Sheet1!F20&gt;80),"Yes","No")</f>
        <v>No</v>
      </c>
    </row>
    <row r="47" customFormat="false" ht="15" hidden="false" customHeight="true" outlineLevel="0" collapsed="false">
      <c r="A47" s="47" t="n">
        <f aca="false">Sheet1!C21</f>
        <v>1020</v>
      </c>
      <c r="B47" s="47" t="str">
        <f aca="false">Sheet1!D21</f>
        <v>Student 20</v>
      </c>
      <c r="C47" s="47" t="n">
        <f aca="false">Sheet1!E21</f>
        <v>83</v>
      </c>
      <c r="D47" s="47" t="n">
        <f aca="false">Sheet1!F21</f>
        <v>92</v>
      </c>
      <c r="E47" s="47" t="n">
        <f aca="false">Sheet1!G21</f>
        <v>55</v>
      </c>
      <c r="F47" s="48" t="str">
        <f aca="false">IF(AND(Sheet1!E21&gt;80,Sheet1!F21&gt;80),"Yes","No")</f>
        <v>Yes</v>
      </c>
    </row>
    <row r="49" customFormat="false" ht="19.5" hidden="false" customHeight="true" outlineLevel="0" collapsed="false">
      <c r="A49" s="45" t="s">
        <v>253</v>
      </c>
      <c r="B49" s="45"/>
      <c r="C49" s="45"/>
      <c r="D49" s="45"/>
      <c r="E49" s="45"/>
      <c r="F49" s="45"/>
    </row>
    <row r="50" customFormat="false" ht="18" hidden="false" customHeight="true" outlineLevel="0" collapsed="false">
      <c r="A50" s="46" t="s">
        <v>8</v>
      </c>
      <c r="B50" s="46" t="s">
        <v>9</v>
      </c>
      <c r="C50" s="46" t="s">
        <v>10</v>
      </c>
      <c r="D50" s="46" t="s">
        <v>11</v>
      </c>
      <c r="E50" s="46" t="s">
        <v>12</v>
      </c>
      <c r="F50" s="46" t="s">
        <v>14</v>
      </c>
    </row>
    <row r="51" customFormat="false" ht="15" hidden="false" customHeight="true" outlineLevel="0" collapsed="false">
      <c r="A51" s="47" t="n">
        <f aca="false">Sheet1!J2</f>
        <v>2001</v>
      </c>
      <c r="B51" s="47" t="str">
        <f aca="false">Sheet1!K2</f>
        <v>Keyboard</v>
      </c>
      <c r="C51" s="47" t="str">
        <f aca="false">Sheet1!L2</f>
        <v>South</v>
      </c>
      <c r="D51" s="47" t="str">
        <f aca="false">Sheet1!M2</f>
        <v>Person 1</v>
      </c>
      <c r="E51" s="47" t="n">
        <f aca="false">Sheet1!N2</f>
        <v>7048</v>
      </c>
      <c r="F51" s="48" t="str">
        <f aca="false">IF(OR(Sheet1!N2&gt;40000,Sheet1!K2="Laptop"),"Yes","No")</f>
        <v>No</v>
      </c>
    </row>
    <row r="52" customFormat="false" ht="15" hidden="false" customHeight="true" outlineLevel="0" collapsed="false">
      <c r="A52" s="47" t="n">
        <f aca="false">Sheet1!J3</f>
        <v>2002</v>
      </c>
      <c r="B52" s="47" t="str">
        <f aca="false">Sheet1!K3</f>
        <v>Printer</v>
      </c>
      <c r="C52" s="47" t="str">
        <f aca="false">Sheet1!L3</f>
        <v>West</v>
      </c>
      <c r="D52" s="47" t="str">
        <f aca="false">Sheet1!M3</f>
        <v>Person 2</v>
      </c>
      <c r="E52" s="47" t="n">
        <f aca="false">Sheet1!N3</f>
        <v>17428</v>
      </c>
      <c r="F52" s="48" t="str">
        <f aca="false">IF(OR(Sheet1!N3&gt;40000,Sheet1!K3="Laptop"),"Yes","No")</f>
        <v>No</v>
      </c>
    </row>
    <row r="53" customFormat="false" ht="15" hidden="false" customHeight="true" outlineLevel="0" collapsed="false">
      <c r="A53" s="47" t="n">
        <f aca="false">Sheet1!J4</f>
        <v>2003</v>
      </c>
      <c r="B53" s="47" t="str">
        <f aca="false">Sheet1!K4</f>
        <v>Mouse</v>
      </c>
      <c r="C53" s="47" t="str">
        <f aca="false">Sheet1!L4</f>
        <v>South</v>
      </c>
      <c r="D53" s="47" t="str">
        <f aca="false">Sheet1!M4</f>
        <v>Person 3</v>
      </c>
      <c r="E53" s="47" t="n">
        <f aca="false">Sheet1!N4</f>
        <v>23672</v>
      </c>
      <c r="F53" s="48" t="str">
        <f aca="false">IF(OR(Sheet1!N4&gt;40000,Sheet1!K4="Laptop"),"Yes","No")</f>
        <v>No</v>
      </c>
    </row>
    <row r="54" customFormat="false" ht="15" hidden="false" customHeight="true" outlineLevel="0" collapsed="false">
      <c r="A54" s="47" t="n">
        <f aca="false">Sheet1!J5</f>
        <v>2004</v>
      </c>
      <c r="B54" s="47" t="str">
        <f aca="false">Sheet1!K5</f>
        <v>Printer</v>
      </c>
      <c r="C54" s="47" t="str">
        <f aca="false">Sheet1!L5</f>
        <v>East</v>
      </c>
      <c r="D54" s="47" t="str">
        <f aca="false">Sheet1!M5</f>
        <v>Person 4</v>
      </c>
      <c r="E54" s="47" t="n">
        <f aca="false">Sheet1!N5</f>
        <v>5264</v>
      </c>
      <c r="F54" s="48" t="str">
        <f aca="false">IF(OR(Sheet1!N5&gt;40000,Sheet1!K5="Laptop"),"Yes","No")</f>
        <v>No</v>
      </c>
    </row>
    <row r="55" customFormat="false" ht="15" hidden="false" customHeight="true" outlineLevel="0" collapsed="false">
      <c r="A55" s="47" t="n">
        <f aca="false">Sheet1!J6</f>
        <v>2005</v>
      </c>
      <c r="B55" s="47" t="str">
        <f aca="false">Sheet1!K6</f>
        <v>Keyboard</v>
      </c>
      <c r="C55" s="47" t="str">
        <f aca="false">Sheet1!L6</f>
        <v>North</v>
      </c>
      <c r="D55" s="47" t="str">
        <f aca="false">Sheet1!M6</f>
        <v>Person 5</v>
      </c>
      <c r="E55" s="47" t="n">
        <f aca="false">Sheet1!N6</f>
        <v>43388</v>
      </c>
      <c r="F55" s="48" t="str">
        <f aca="false">IF(OR(Sheet1!N6&gt;40000,Sheet1!K6="Laptop"),"Yes","No")</f>
        <v>Yes</v>
      </c>
    </row>
    <row r="56" customFormat="false" ht="15" hidden="false" customHeight="true" outlineLevel="0" collapsed="false">
      <c r="A56" s="47" t="n">
        <f aca="false">Sheet1!J7</f>
        <v>2006</v>
      </c>
      <c r="B56" s="47" t="str">
        <f aca="false">Sheet1!K7</f>
        <v>Mouse</v>
      </c>
      <c r="C56" s="47" t="str">
        <f aca="false">Sheet1!L7</f>
        <v>North</v>
      </c>
      <c r="D56" s="47" t="str">
        <f aca="false">Sheet1!M7</f>
        <v>Person 6</v>
      </c>
      <c r="E56" s="47" t="n">
        <f aca="false">Sheet1!N7</f>
        <v>19757</v>
      </c>
      <c r="F56" s="48" t="str">
        <f aca="false">IF(OR(Sheet1!N7&gt;40000,Sheet1!K7="Laptop"),"Yes","No")</f>
        <v>No</v>
      </c>
    </row>
    <row r="57" customFormat="false" ht="15" hidden="false" customHeight="true" outlineLevel="0" collapsed="false">
      <c r="A57" s="47" t="n">
        <f aca="false">Sheet1!J8</f>
        <v>2007</v>
      </c>
      <c r="B57" s="47" t="str">
        <f aca="false">Sheet1!K8</f>
        <v>Mouse</v>
      </c>
      <c r="C57" s="47" t="str">
        <f aca="false">Sheet1!L8</f>
        <v>East</v>
      </c>
      <c r="D57" s="47" t="str">
        <f aca="false">Sheet1!M8</f>
        <v>Person 7</v>
      </c>
      <c r="E57" s="47" t="n">
        <f aca="false">Sheet1!N8</f>
        <v>32058</v>
      </c>
      <c r="F57" s="48" t="str">
        <f aca="false">IF(OR(Sheet1!N8&gt;40000,Sheet1!K8="Laptop"),"Yes","No")</f>
        <v>No</v>
      </c>
    </row>
    <row r="58" customFormat="false" ht="15" hidden="false" customHeight="true" outlineLevel="0" collapsed="false">
      <c r="A58" s="47" t="n">
        <f aca="false">Sheet1!J9</f>
        <v>2008</v>
      </c>
      <c r="B58" s="47" t="str">
        <f aca="false">Sheet1!K9</f>
        <v>Keyboard</v>
      </c>
      <c r="C58" s="47" t="str">
        <f aca="false">Sheet1!L9</f>
        <v>East</v>
      </c>
      <c r="D58" s="47" t="str">
        <f aca="false">Sheet1!M9</f>
        <v>Person 8</v>
      </c>
      <c r="E58" s="47" t="n">
        <f aca="false">Sheet1!N9</f>
        <v>46429</v>
      </c>
      <c r="F58" s="48" t="str">
        <f aca="false">IF(OR(Sheet1!N9&gt;40000,Sheet1!K9="Laptop"),"Yes","No")</f>
        <v>Yes</v>
      </c>
    </row>
    <row r="59" customFormat="false" ht="15" hidden="false" customHeight="true" outlineLevel="0" collapsed="false">
      <c r="A59" s="47" t="n">
        <f aca="false">Sheet1!J10</f>
        <v>2009</v>
      </c>
      <c r="B59" s="47" t="str">
        <f aca="false">Sheet1!K10</f>
        <v>Printer</v>
      </c>
      <c r="C59" s="47" t="str">
        <f aca="false">Sheet1!L10</f>
        <v>East</v>
      </c>
      <c r="D59" s="47" t="str">
        <f aca="false">Sheet1!M10</f>
        <v>Person 9</v>
      </c>
      <c r="E59" s="47" t="n">
        <f aca="false">Sheet1!N10</f>
        <v>19746</v>
      </c>
      <c r="F59" s="48" t="str">
        <f aca="false">IF(OR(Sheet1!N10&gt;40000,Sheet1!K10="Laptop"),"Yes","No")</f>
        <v>No</v>
      </c>
    </row>
    <row r="60" customFormat="false" ht="15" hidden="false" customHeight="true" outlineLevel="0" collapsed="false">
      <c r="A60" s="47" t="n">
        <f aca="false">Sheet1!J11</f>
        <v>2010</v>
      </c>
      <c r="B60" s="47" t="str">
        <f aca="false">Sheet1!K11</f>
        <v>Keyboard</v>
      </c>
      <c r="C60" s="47" t="str">
        <f aca="false">Sheet1!L11</f>
        <v>South</v>
      </c>
      <c r="D60" s="47" t="str">
        <f aca="false">Sheet1!M11</f>
        <v>Person 10</v>
      </c>
      <c r="E60" s="47" t="n">
        <f aca="false">Sheet1!N11</f>
        <v>35185</v>
      </c>
      <c r="F60" s="48" t="str">
        <f aca="false">IF(OR(Sheet1!N11&gt;40000,Sheet1!K11="Laptop"),"Yes","No")</f>
        <v>No</v>
      </c>
    </row>
    <row r="61" customFormat="false" ht="15" hidden="false" customHeight="true" outlineLevel="0" collapsed="false">
      <c r="A61" s="47" t="n">
        <f aca="false">Sheet1!J12</f>
        <v>2011</v>
      </c>
      <c r="B61" s="47" t="str">
        <f aca="false">Sheet1!K12</f>
        <v>Keyboard</v>
      </c>
      <c r="C61" s="47" t="str">
        <f aca="false">Sheet1!L12</f>
        <v>East</v>
      </c>
      <c r="D61" s="47" t="str">
        <f aca="false">Sheet1!M12</f>
        <v>Person 11</v>
      </c>
      <c r="E61" s="47" t="n">
        <f aca="false">Sheet1!N12</f>
        <v>33920</v>
      </c>
      <c r="F61" s="48" t="str">
        <f aca="false">IF(OR(Sheet1!N12&gt;40000,Sheet1!K12="Laptop"),"Yes","No")</f>
        <v>No</v>
      </c>
    </row>
    <row r="62" customFormat="false" ht="15" hidden="false" customHeight="true" outlineLevel="0" collapsed="false">
      <c r="A62" s="47" t="n">
        <f aca="false">Sheet1!J13</f>
        <v>2012</v>
      </c>
      <c r="B62" s="47" t="str">
        <f aca="false">Sheet1!K13</f>
        <v>Monitor</v>
      </c>
      <c r="C62" s="47" t="str">
        <f aca="false">Sheet1!L13</f>
        <v>North</v>
      </c>
      <c r="D62" s="47" t="str">
        <f aca="false">Sheet1!M13</f>
        <v>Person 12</v>
      </c>
      <c r="E62" s="47" t="n">
        <f aca="false">Sheet1!N13</f>
        <v>35611</v>
      </c>
      <c r="F62" s="48" t="str">
        <f aca="false">IF(OR(Sheet1!N13&gt;40000,Sheet1!K13="Laptop"),"Yes","No")</f>
        <v>No</v>
      </c>
    </row>
    <row r="63" customFormat="false" ht="15" hidden="false" customHeight="true" outlineLevel="0" collapsed="false">
      <c r="A63" s="47" t="n">
        <f aca="false">Sheet1!J14</f>
        <v>2013</v>
      </c>
      <c r="B63" s="47" t="str">
        <f aca="false">Sheet1!K14</f>
        <v>Laptop</v>
      </c>
      <c r="C63" s="47" t="str">
        <f aca="false">Sheet1!L14</f>
        <v>East</v>
      </c>
      <c r="D63" s="47" t="str">
        <f aca="false">Sheet1!M14</f>
        <v>Person 13</v>
      </c>
      <c r="E63" s="47" t="n">
        <f aca="false">Sheet1!N14</f>
        <v>15560</v>
      </c>
      <c r="F63" s="48" t="str">
        <f aca="false">IF(OR(Sheet1!N14&gt;40000,Sheet1!K14="Laptop"),"Yes","No")</f>
        <v>Yes</v>
      </c>
    </row>
    <row r="64" customFormat="false" ht="15" hidden="false" customHeight="true" outlineLevel="0" collapsed="false">
      <c r="A64" s="47" t="n">
        <f aca="false">Sheet1!J15</f>
        <v>2014</v>
      </c>
      <c r="B64" s="47" t="str">
        <f aca="false">Sheet1!K15</f>
        <v>Laptop</v>
      </c>
      <c r="C64" s="47" t="str">
        <f aca="false">Sheet1!L15</f>
        <v>South</v>
      </c>
      <c r="D64" s="47" t="str">
        <f aca="false">Sheet1!M15</f>
        <v>Person 14</v>
      </c>
      <c r="E64" s="47" t="n">
        <f aca="false">Sheet1!N15</f>
        <v>7283</v>
      </c>
      <c r="F64" s="48" t="str">
        <f aca="false">IF(OR(Sheet1!N15&gt;40000,Sheet1!K15="Laptop"),"Yes","No")</f>
        <v>Yes</v>
      </c>
    </row>
    <row r="65" customFormat="false" ht="15" hidden="false" customHeight="true" outlineLevel="0" collapsed="false">
      <c r="A65" s="47" t="n">
        <f aca="false">Sheet1!J16</f>
        <v>2015</v>
      </c>
      <c r="B65" s="47" t="str">
        <f aca="false">Sheet1!K16</f>
        <v>Laptop</v>
      </c>
      <c r="C65" s="47" t="str">
        <f aca="false">Sheet1!L16</f>
        <v>East</v>
      </c>
      <c r="D65" s="47" t="str">
        <f aca="false">Sheet1!M16</f>
        <v>Person 15</v>
      </c>
      <c r="E65" s="47" t="n">
        <f aca="false">Sheet1!N16</f>
        <v>15678</v>
      </c>
      <c r="F65" s="48" t="str">
        <f aca="false">IF(OR(Sheet1!N16&gt;40000,Sheet1!K16="Laptop"),"Yes","No")</f>
        <v>Yes</v>
      </c>
    </row>
    <row r="66" customFormat="false" ht="15" hidden="false" customHeight="true" outlineLevel="0" collapsed="false">
      <c r="A66" s="47" t="n">
        <f aca="false">Sheet1!J17</f>
        <v>2016</v>
      </c>
      <c r="B66" s="47" t="str">
        <f aca="false">Sheet1!K17</f>
        <v>Mouse</v>
      </c>
      <c r="C66" s="47" t="str">
        <f aca="false">Sheet1!L17</f>
        <v>East</v>
      </c>
      <c r="D66" s="47" t="str">
        <f aca="false">Sheet1!M17</f>
        <v>Person 16</v>
      </c>
      <c r="E66" s="47" t="n">
        <f aca="false">Sheet1!N17</f>
        <v>5277</v>
      </c>
      <c r="F66" s="48" t="str">
        <f aca="false">IF(OR(Sheet1!N17&gt;40000,Sheet1!K17="Laptop"),"Yes","No")</f>
        <v>No</v>
      </c>
    </row>
    <row r="67" customFormat="false" ht="15" hidden="false" customHeight="true" outlineLevel="0" collapsed="false">
      <c r="A67" s="47" t="n">
        <f aca="false">Sheet1!J18</f>
        <v>2017</v>
      </c>
      <c r="B67" s="47" t="str">
        <f aca="false">Sheet1!K18</f>
        <v>Monitor</v>
      </c>
      <c r="C67" s="47" t="str">
        <f aca="false">Sheet1!L18</f>
        <v>North</v>
      </c>
      <c r="D67" s="47" t="str">
        <f aca="false">Sheet1!M18</f>
        <v>Person 17</v>
      </c>
      <c r="E67" s="47" t="n">
        <f aca="false">Sheet1!N18</f>
        <v>41871</v>
      </c>
      <c r="F67" s="48" t="str">
        <f aca="false">IF(OR(Sheet1!N18&gt;40000,Sheet1!K18="Laptop"),"Yes","No")</f>
        <v>Yes</v>
      </c>
    </row>
    <row r="68" customFormat="false" ht="15" hidden="false" customHeight="true" outlineLevel="0" collapsed="false">
      <c r="A68" s="47" t="n">
        <f aca="false">Sheet1!J19</f>
        <v>2018</v>
      </c>
      <c r="B68" s="47" t="str">
        <f aca="false">Sheet1!K19</f>
        <v>Monitor</v>
      </c>
      <c r="C68" s="47" t="str">
        <f aca="false">Sheet1!L19</f>
        <v>West</v>
      </c>
      <c r="D68" s="47" t="str">
        <f aca="false">Sheet1!M19</f>
        <v>Person 18</v>
      </c>
      <c r="E68" s="47" t="n">
        <f aca="false">Sheet1!N19</f>
        <v>38161</v>
      </c>
      <c r="F68" s="48" t="str">
        <f aca="false">IF(OR(Sheet1!N19&gt;40000,Sheet1!K19="Laptop"),"Yes","No")</f>
        <v>No</v>
      </c>
    </row>
    <row r="69" customFormat="false" ht="15" hidden="false" customHeight="true" outlineLevel="0" collapsed="false">
      <c r="A69" s="47" t="n">
        <f aca="false">Sheet1!J20</f>
        <v>2019</v>
      </c>
      <c r="B69" s="47" t="str">
        <f aca="false">Sheet1!K20</f>
        <v>Mouse</v>
      </c>
      <c r="C69" s="47" t="str">
        <f aca="false">Sheet1!L20</f>
        <v>West</v>
      </c>
      <c r="D69" s="47" t="str">
        <f aca="false">Sheet1!M20</f>
        <v>Person 19</v>
      </c>
      <c r="E69" s="47" t="n">
        <f aca="false">Sheet1!N20</f>
        <v>30436</v>
      </c>
      <c r="F69" s="48" t="str">
        <f aca="false">IF(OR(Sheet1!N20&gt;40000,Sheet1!K20="Laptop"),"Yes","No")</f>
        <v>No</v>
      </c>
    </row>
    <row r="70" customFormat="false" ht="15" hidden="false" customHeight="true" outlineLevel="0" collapsed="false">
      <c r="A70" s="47" t="n">
        <f aca="false">Sheet1!J21</f>
        <v>2020</v>
      </c>
      <c r="B70" s="47" t="str">
        <f aca="false">Sheet1!K21</f>
        <v>Printer</v>
      </c>
      <c r="C70" s="47" t="str">
        <f aca="false">Sheet1!L21</f>
        <v>West</v>
      </c>
      <c r="D70" s="47" t="str">
        <f aca="false">Sheet1!M21</f>
        <v>Person 20</v>
      </c>
      <c r="E70" s="47" t="n">
        <f aca="false">Sheet1!N21</f>
        <v>33953</v>
      </c>
      <c r="F70" s="48" t="str">
        <f aca="false">IF(OR(Sheet1!N21&gt;40000,Sheet1!K21="Laptop"),"Yes","No")</f>
        <v>No</v>
      </c>
    </row>
    <row r="72" customFormat="false" ht="19.5" hidden="false" customHeight="true" outlineLevel="0" collapsed="false">
      <c r="A72" s="45" t="s">
        <v>254</v>
      </c>
      <c r="B72" s="45"/>
      <c r="C72" s="45"/>
      <c r="D72" s="45"/>
      <c r="E72" s="45"/>
      <c r="F72" s="45"/>
    </row>
    <row r="73" customFormat="false" ht="18" hidden="false" customHeight="true" outlineLevel="0" collapsed="false">
      <c r="A73" s="46" t="s">
        <v>255</v>
      </c>
      <c r="B73" s="46" t="s">
        <v>256</v>
      </c>
      <c r="C73" s="46" t="s">
        <v>150</v>
      </c>
      <c r="D73" s="49" t="s">
        <v>151</v>
      </c>
      <c r="E73" s="49"/>
      <c r="F73" s="49"/>
    </row>
    <row r="74" customFormat="false" ht="15" hidden="false" customHeight="true" outlineLevel="0" collapsed="false">
      <c r="A74" s="50" t="s">
        <v>257</v>
      </c>
      <c r="B74" s="50" t="n">
        <f aca="false">COUNTIFS(Sheet1!E2:E21,"&gt;50")</f>
        <v>19</v>
      </c>
      <c r="C74" s="51" t="n">
        <f aca="false">COUNTIFS(Sheet1!E2:E21,"&gt;50")</f>
        <v>19</v>
      </c>
      <c r="D74" s="52" t="s">
        <v>258</v>
      </c>
      <c r="E74" s="52"/>
      <c r="F74" s="52"/>
    </row>
    <row r="75" customFormat="false" ht="26.25" hidden="false" customHeight="true" outlineLevel="0" collapsed="false">
      <c r="A75" s="50" t="s">
        <v>259</v>
      </c>
      <c r="B75" s="50" t="n">
        <f aca="false">AVERAGEIFS(Sheet1!E2:E21,Sheet1!E2:E21,"&gt;60")</f>
        <v>82.2631578947368</v>
      </c>
      <c r="C75" s="53" t="n">
        <f aca="false">AVERAGEIFS(Sheet1!E2:E21,Sheet1!E2:E21,"&gt;60")</f>
        <v>82.2631578947368</v>
      </c>
      <c r="D75" s="52" t="s">
        <v>260</v>
      </c>
      <c r="E75" s="52"/>
      <c r="F75" s="52"/>
    </row>
    <row r="76" customFormat="false" ht="15" hidden="false" customHeight="true" outlineLevel="0" collapsed="false">
      <c r="A76" s="50" t="s">
        <v>261</v>
      </c>
      <c r="B76" s="50" t="n">
        <f aca="false">SUMIFS(Sheet1!N2:N21,Sheet1!L2:L21,"East",Sheet1!K2:K21,"Keyboard")</f>
        <v>80349</v>
      </c>
      <c r="C76" s="54" t="n">
        <f aca="false">SUMIFS(Sheet1!N2:N21,Sheet1!L2:L21,"East",Sheet1!K2:K21,"Keyboard")</f>
        <v>80349</v>
      </c>
      <c r="D76" s="52" t="s">
        <v>262</v>
      </c>
      <c r="E76" s="52"/>
      <c r="F76" s="52"/>
    </row>
    <row r="77" customFormat="false" ht="15" hidden="false" customHeight="true" outlineLevel="0" collapsed="false">
      <c r="A77" s="50"/>
      <c r="B77" s="50"/>
      <c r="C77" s="51"/>
      <c r="D77" s="52"/>
      <c r="E77" s="52"/>
      <c r="F77" s="52"/>
    </row>
    <row r="78" customFormat="false" ht="15" hidden="false" customHeight="true" outlineLevel="0" collapsed="false">
      <c r="A78" s="45" t="s">
        <v>263</v>
      </c>
      <c r="B78" s="45"/>
      <c r="C78" s="45"/>
      <c r="D78" s="45"/>
      <c r="E78" s="45"/>
      <c r="F78" s="45"/>
    </row>
    <row r="79" customFormat="false" ht="14.25" hidden="false" customHeight="false" outlineLevel="0" collapsed="false">
      <c r="A79" s="46" t="s">
        <v>264</v>
      </c>
      <c r="B79" s="46" t="s">
        <v>150</v>
      </c>
      <c r="D79" s="55"/>
      <c r="E79" s="56"/>
      <c r="F79" s="56"/>
    </row>
    <row r="80" customFormat="false" ht="19.5" hidden="false" customHeight="true" outlineLevel="0" collapsed="false">
      <c r="A80" s="57" t="n">
        <v>1005</v>
      </c>
      <c r="B80" s="58" t="str">
        <f aca="false">VLOOKUP(1005,Sheet1!$C$2:$G$21,2,0)</f>
        <v>Student 5</v>
      </c>
      <c r="D80" s="57"/>
      <c r="E80" s="57"/>
      <c r="F80" s="57"/>
    </row>
    <row r="81" customFormat="false" ht="15" hidden="false" customHeight="true" outlineLevel="0" collapsed="false">
      <c r="A81" s="57" t="n">
        <v>1013</v>
      </c>
      <c r="B81" s="58" t="str">
        <f aca="false">VLOOKUP(1013,Sheet1!$C$2:$G$21,2,0)</f>
        <v>Student 13</v>
      </c>
      <c r="D81" s="57"/>
      <c r="E81" s="57"/>
      <c r="F81" s="57"/>
    </row>
    <row r="82" customFormat="false" ht="23.25" hidden="false" customHeight="true" outlineLevel="0" collapsed="false">
      <c r="A82" s="57" t="n">
        <v>2007</v>
      </c>
      <c r="B82" s="58" t="n">
        <f aca="false">VLOOKUP(2007,Sheet1!$J$2:$N$21,5,0)</f>
        <v>32058</v>
      </c>
      <c r="D82" s="57"/>
      <c r="E82" s="57"/>
      <c r="F82" s="57"/>
    </row>
    <row r="83" customFormat="false" ht="23.25" hidden="false" customHeight="true" outlineLevel="0" collapsed="false">
      <c r="A83" s="57" t="n">
        <v>2015</v>
      </c>
      <c r="B83" s="58" t="str">
        <f aca="false">VLOOKUP(2015,Sheet1!$J$2:$N$21,2,0)</f>
        <v>Laptop</v>
      </c>
      <c r="D83" s="57"/>
      <c r="E83" s="57"/>
      <c r="F83" s="57"/>
    </row>
    <row r="84" customFormat="false" ht="23.25" hidden="false" customHeight="true" outlineLevel="0" collapsed="false"/>
    <row r="85" customFormat="false" ht="23.25" hidden="false" customHeight="true" outlineLevel="0" collapsed="false"/>
    <row r="87" customFormat="false" ht="19.5" hidden="false" customHeight="true" outlineLevel="0" collapsed="false">
      <c r="A87" s="45" t="s">
        <v>265</v>
      </c>
      <c r="B87" s="45"/>
      <c r="C87" s="45"/>
      <c r="D87" s="45"/>
      <c r="E87" s="45"/>
      <c r="F87" s="45"/>
    </row>
    <row r="88" customFormat="false" ht="15" hidden="false" customHeight="true" outlineLevel="0" collapsed="false">
      <c r="A88" s="46" t="s">
        <v>264</v>
      </c>
      <c r="B88" s="46" t="s">
        <v>150</v>
      </c>
      <c r="D88" s="59"/>
      <c r="E88" s="59"/>
      <c r="F88" s="59"/>
    </row>
    <row r="89" customFormat="false" ht="34.5" hidden="false" customHeight="true" outlineLevel="0" collapsed="false">
      <c r="A89" s="57" t="s">
        <v>46</v>
      </c>
      <c r="B89" s="51" t="n">
        <f aca="false">INDEX(Sheet1!$T$2:$T$21,MATCH("Employee 5",Sheet1!$R$2:$R$21,0))</f>
        <v>54149</v>
      </c>
      <c r="D89" s="57"/>
      <c r="E89" s="57"/>
      <c r="F89" s="57"/>
    </row>
    <row r="90" customFormat="false" ht="34.5" hidden="false" customHeight="true" outlineLevel="0" collapsed="false">
      <c r="A90" s="57" t="s">
        <v>75</v>
      </c>
      <c r="B90" s="51" t="n">
        <f aca="false">INDEX(Sheet1!$T$2:$T$21,MATCH("Employee 12",Sheet1!$R$2:$R$21,0))</f>
        <v>35226</v>
      </c>
      <c r="D90" s="57"/>
      <c r="E90" s="57"/>
      <c r="F90" s="57"/>
    </row>
    <row r="91" customFormat="false" ht="34.5" hidden="false" customHeight="true" outlineLevel="0" collapsed="false">
      <c r="A91" s="57" t="s">
        <v>58</v>
      </c>
      <c r="B91" s="51" t="n">
        <f aca="false">INDEX(Sheet1!$N$2:$N$21,MATCH("Person 8",Sheet1!$M$2:$M$21,0))</f>
        <v>46429</v>
      </c>
      <c r="D91" s="57"/>
      <c r="E91" s="57"/>
      <c r="F91" s="57"/>
    </row>
    <row r="92" customFormat="false" ht="34.5" hidden="false" customHeight="true" outlineLevel="0" collapsed="false">
      <c r="A92" s="57" t="s">
        <v>94</v>
      </c>
      <c r="B92" s="51" t="n">
        <f aca="false">INDEX(Sheet1!$N$2:$N$21,MATCH("Person 17",Sheet1!$M$2:$M$21,0))</f>
        <v>41871</v>
      </c>
      <c r="D92" s="57"/>
      <c r="E92" s="57"/>
      <c r="F92" s="57"/>
    </row>
    <row r="94" customFormat="false" ht="19.5" hidden="false" customHeight="true" outlineLevel="0" collapsed="false">
      <c r="A94" s="45" t="s">
        <v>266</v>
      </c>
      <c r="B94" s="45"/>
      <c r="C94" s="45"/>
      <c r="D94" s="45"/>
      <c r="E94" s="45"/>
      <c r="F94" s="45"/>
    </row>
    <row r="95" customFormat="false" ht="15" hidden="false" customHeight="true" outlineLevel="0" collapsed="false">
      <c r="A95" s="46" t="s">
        <v>267</v>
      </c>
      <c r="B95" s="46" t="s">
        <v>268</v>
      </c>
      <c r="C95" s="60"/>
      <c r="D95" s="56"/>
      <c r="E95" s="56"/>
      <c r="F95" s="56"/>
    </row>
    <row r="96" customFormat="false" ht="15" hidden="false" customHeight="true" outlineLevel="0" collapsed="false">
      <c r="A96" s="57" t="s">
        <v>73</v>
      </c>
      <c r="B96" s="51" t="n">
        <f aca="false">MATCH("Monitor",Sheet1!$K$2:$K$21,0)</f>
        <v>12</v>
      </c>
      <c r="C96" s="61"/>
      <c r="D96" s="57"/>
      <c r="E96" s="57"/>
      <c r="F96" s="57"/>
    </row>
    <row r="97" customFormat="false" ht="15" hidden="false" customHeight="true" outlineLevel="0" collapsed="false">
      <c r="A97" s="57" t="s">
        <v>78</v>
      </c>
      <c r="B97" s="51" t="n">
        <f aca="false">MATCH("Laptop",Sheet1!$K$2:$K$21,0)</f>
        <v>13</v>
      </c>
      <c r="C97" s="61"/>
      <c r="D97" s="57"/>
      <c r="E97" s="57"/>
      <c r="F97" s="57"/>
    </row>
    <row r="98" customFormat="false" ht="23.25" hidden="false" customHeight="true" outlineLevel="0" collapsed="false">
      <c r="A98" s="57" t="s">
        <v>87</v>
      </c>
      <c r="B98" s="51" t="n">
        <f aca="false">MATCH("Person 15",Sheet1!$M$2:$M$21,0)</f>
        <v>15</v>
      </c>
      <c r="C98" s="61"/>
      <c r="D98" s="57"/>
      <c r="E98" s="57"/>
      <c r="F98" s="57"/>
    </row>
    <row r="100" customFormat="false" ht="19.5" hidden="false" customHeight="true" outlineLevel="0" collapsed="false">
      <c r="A100" s="45" t="s">
        <v>269</v>
      </c>
      <c r="B100" s="45"/>
      <c r="C100" s="45"/>
      <c r="D100" s="45"/>
      <c r="E100" s="45"/>
      <c r="F100" s="45"/>
    </row>
    <row r="101" customFormat="false" ht="15" hidden="false" customHeight="true" outlineLevel="0" collapsed="false">
      <c r="A101" s="46" t="s">
        <v>264</v>
      </c>
      <c r="B101" s="46" t="s">
        <v>150</v>
      </c>
      <c r="C101" s="60"/>
      <c r="D101" s="56"/>
      <c r="E101" s="56"/>
      <c r="F101" s="56"/>
    </row>
    <row r="102" customFormat="false" ht="34.5" hidden="false" customHeight="true" outlineLevel="0" collapsed="false">
      <c r="A102" s="57" t="s">
        <v>55</v>
      </c>
      <c r="B102" s="58" t="n">
        <f aca="false">INDEX(Sheet1!$T$2:$T$21,MATCH("Employee 7",Sheet1!$R$2:$R$21,0))</f>
        <v>35960</v>
      </c>
      <c r="C102" s="57"/>
      <c r="D102" s="57"/>
      <c r="E102" s="57"/>
      <c r="F102" s="57"/>
    </row>
    <row r="103" customFormat="false" ht="34.5" hidden="false" customHeight="true" outlineLevel="0" collapsed="false">
      <c r="A103" s="57" t="s">
        <v>84</v>
      </c>
      <c r="B103" s="58" t="str">
        <f aca="false">INDEX(Sheet1!$S$2:$S$21,MATCH("Employee 14",Sheet1!$R$2:$R$21,0))</f>
        <v>HR</v>
      </c>
      <c r="C103" s="57"/>
      <c r="D103" s="57"/>
      <c r="E103" s="57"/>
      <c r="F103" s="57"/>
    </row>
    <row r="104" customFormat="false" ht="34.5" hidden="false" customHeight="true" outlineLevel="0" collapsed="false">
      <c r="A104" s="57" t="n">
        <v>3009</v>
      </c>
      <c r="B104" s="58" t="str">
        <f aca="false">INDEX(Sheet1!$R$2:$R$21,MATCH(3009,Sheet1!$Q$2:$Q$21,0))</f>
        <v>Employee 9</v>
      </c>
      <c r="C104" s="57"/>
      <c r="D104" s="57"/>
      <c r="E104" s="57"/>
      <c r="F104" s="57"/>
    </row>
    <row r="105" customFormat="false" ht="34.5" hidden="false" customHeight="true" outlineLevel="0" collapsed="false">
      <c r="A105" s="57" t="s">
        <v>66</v>
      </c>
      <c r="B105" s="58" t="str">
        <f aca="false">INDEX(Sheet1!$K$2:$K$21,MATCH("Person 10",Sheet1!$M$2:$M$21,0))</f>
        <v>Keyboard</v>
      </c>
      <c r="C105" s="57"/>
      <c r="D105" s="57"/>
      <c r="E105" s="57"/>
      <c r="F105" s="57"/>
    </row>
    <row r="107" customFormat="false" ht="19.5" hidden="false" customHeight="true" outlineLevel="0" collapsed="false">
      <c r="A107" s="45" t="s">
        <v>270</v>
      </c>
      <c r="B107" s="45"/>
      <c r="C107" s="45"/>
      <c r="D107" s="45"/>
      <c r="E107" s="45"/>
      <c r="F107" s="45"/>
    </row>
    <row r="108" customFormat="false" ht="18" hidden="false" customHeight="true" outlineLevel="0" collapsed="false">
      <c r="A108" s="46" t="s">
        <v>204</v>
      </c>
      <c r="B108" s="46" t="s">
        <v>271</v>
      </c>
      <c r="C108" s="46" t="s">
        <v>272</v>
      </c>
      <c r="D108" s="46" t="s">
        <v>273</v>
      </c>
      <c r="E108" s="46" t="s">
        <v>274</v>
      </c>
      <c r="F108" s="46" t="s">
        <v>275</v>
      </c>
    </row>
    <row r="109" customFormat="false" ht="15" hidden="false" customHeight="true" outlineLevel="0" collapsed="false">
      <c r="A109" s="47" t="str">
        <f aca="false">Sheet1!R2</f>
        <v>Employee 1</v>
      </c>
      <c r="B109" s="48" t="str">
        <f aca="false">LEFT(Sheet1!R2,FIND(" ",Sheet1!R2)-1)</f>
        <v>Employee</v>
      </c>
      <c r="C109" s="48" t="str">
        <f aca="false">UPPER(Sheet1!R2)</f>
        <v>EMPLOYEE 1</v>
      </c>
      <c r="D109" s="48" t="str">
        <f aca="false">LOWER(Sheet1!R2)</f>
        <v>employee 1</v>
      </c>
      <c r="E109" s="48" t="n">
        <f aca="false">LEN(Sheet1!R2)</f>
        <v>10</v>
      </c>
      <c r="F109" s="48" t="str">
        <f aca="false">PROPER(Sheet1!R2)</f>
        <v>Employee 1</v>
      </c>
    </row>
    <row r="110" customFormat="false" ht="15" hidden="false" customHeight="true" outlineLevel="0" collapsed="false">
      <c r="A110" s="47" t="str">
        <f aca="false">Sheet1!R3</f>
        <v>Employee 2</v>
      </c>
      <c r="B110" s="48" t="str">
        <f aca="false">LEFT(Sheet1!R3,FIND(" ",Sheet1!R3)-1)</f>
        <v>Employee</v>
      </c>
      <c r="C110" s="48" t="str">
        <f aca="false">UPPER(Sheet1!R3)</f>
        <v>EMPLOYEE 2</v>
      </c>
      <c r="D110" s="48" t="str">
        <f aca="false">LOWER(Sheet1!R3)</f>
        <v>employee 2</v>
      </c>
      <c r="E110" s="48" t="n">
        <f aca="false">LEN(Sheet1!R3)</f>
        <v>10</v>
      </c>
      <c r="F110" s="48" t="str">
        <f aca="false">PROPER(Sheet1!R3)</f>
        <v>Employee 2</v>
      </c>
    </row>
    <row r="111" customFormat="false" ht="15" hidden="false" customHeight="true" outlineLevel="0" collapsed="false">
      <c r="A111" s="47" t="str">
        <f aca="false">Sheet1!R4</f>
        <v>Employee 3</v>
      </c>
      <c r="B111" s="48" t="str">
        <f aca="false">LEFT(Sheet1!R4,FIND(" ",Sheet1!R4)-1)</f>
        <v>Employee</v>
      </c>
      <c r="C111" s="48" t="str">
        <f aca="false">UPPER(Sheet1!R4)</f>
        <v>EMPLOYEE 3</v>
      </c>
      <c r="D111" s="48" t="str">
        <f aca="false">LOWER(Sheet1!R4)</f>
        <v>employee 3</v>
      </c>
      <c r="E111" s="48" t="n">
        <f aca="false">LEN(Sheet1!R4)</f>
        <v>10</v>
      </c>
      <c r="F111" s="48" t="str">
        <f aca="false">PROPER(Sheet1!R4)</f>
        <v>Employee 3</v>
      </c>
    </row>
    <row r="112" customFormat="false" ht="15" hidden="false" customHeight="true" outlineLevel="0" collapsed="false">
      <c r="A112" s="47" t="str">
        <f aca="false">Sheet1!R5</f>
        <v>Employee 4</v>
      </c>
      <c r="B112" s="48" t="str">
        <f aca="false">LEFT(Sheet1!R5,FIND(" ",Sheet1!R5)-1)</f>
        <v>Employee</v>
      </c>
      <c r="C112" s="48" t="str">
        <f aca="false">UPPER(Sheet1!R5)</f>
        <v>EMPLOYEE 4</v>
      </c>
      <c r="D112" s="48" t="str">
        <f aca="false">LOWER(Sheet1!R5)</f>
        <v>employee 4</v>
      </c>
      <c r="E112" s="48" t="n">
        <f aca="false">LEN(Sheet1!R5)</f>
        <v>10</v>
      </c>
      <c r="F112" s="48" t="str">
        <f aca="false">PROPER(Sheet1!R5)</f>
        <v>Employee 4</v>
      </c>
    </row>
    <row r="113" customFormat="false" ht="15" hidden="false" customHeight="true" outlineLevel="0" collapsed="false">
      <c r="A113" s="47" t="str">
        <f aca="false">Sheet1!R6</f>
        <v>Employee 5</v>
      </c>
      <c r="B113" s="48" t="str">
        <f aca="false">LEFT(Sheet1!R6,FIND(" ",Sheet1!R6)-1)</f>
        <v>Employee</v>
      </c>
      <c r="C113" s="48" t="str">
        <f aca="false">UPPER(Sheet1!R6)</f>
        <v>EMPLOYEE 5</v>
      </c>
      <c r="D113" s="48" t="str">
        <f aca="false">LOWER(Sheet1!R6)</f>
        <v>employee 5</v>
      </c>
      <c r="E113" s="48" t="n">
        <f aca="false">LEN(Sheet1!R6)</f>
        <v>10</v>
      </c>
      <c r="F113" s="48" t="str">
        <f aca="false">PROPER(Sheet1!R6)</f>
        <v>Employee 5</v>
      </c>
    </row>
    <row r="114" customFormat="false" ht="15" hidden="false" customHeight="true" outlineLevel="0" collapsed="false">
      <c r="A114" s="47" t="str">
        <f aca="false">Sheet1!R7</f>
        <v>Employee 6</v>
      </c>
      <c r="B114" s="48" t="str">
        <f aca="false">LEFT(Sheet1!R7,FIND(" ",Sheet1!R7)-1)</f>
        <v>Employee</v>
      </c>
      <c r="C114" s="48" t="str">
        <f aca="false">UPPER(Sheet1!R7)</f>
        <v>EMPLOYEE 6</v>
      </c>
      <c r="D114" s="48" t="str">
        <f aca="false">LOWER(Sheet1!R7)</f>
        <v>employee 6</v>
      </c>
      <c r="E114" s="48" t="n">
        <f aca="false">LEN(Sheet1!R7)</f>
        <v>10</v>
      </c>
      <c r="F114" s="48" t="str">
        <f aca="false">PROPER(Sheet1!R7)</f>
        <v>Employee 6</v>
      </c>
    </row>
    <row r="115" customFormat="false" ht="15" hidden="false" customHeight="true" outlineLevel="0" collapsed="false">
      <c r="A115" s="47" t="str">
        <f aca="false">Sheet1!R8</f>
        <v>Employee 7</v>
      </c>
      <c r="B115" s="48" t="str">
        <f aca="false">LEFT(Sheet1!R8,FIND(" ",Sheet1!R8)-1)</f>
        <v>Employee</v>
      </c>
      <c r="C115" s="48" t="str">
        <f aca="false">UPPER(Sheet1!R8)</f>
        <v>EMPLOYEE 7</v>
      </c>
      <c r="D115" s="48" t="str">
        <f aca="false">LOWER(Sheet1!R8)</f>
        <v>employee 7</v>
      </c>
      <c r="E115" s="48" t="n">
        <f aca="false">LEN(Sheet1!R8)</f>
        <v>10</v>
      </c>
      <c r="F115" s="48" t="str">
        <f aca="false">PROPER(Sheet1!R8)</f>
        <v>Employee 7</v>
      </c>
    </row>
    <row r="116" customFormat="false" ht="15" hidden="false" customHeight="true" outlineLevel="0" collapsed="false">
      <c r="A116" s="47" t="str">
        <f aca="false">Sheet1!R9</f>
        <v>Employee 8</v>
      </c>
      <c r="B116" s="48" t="str">
        <f aca="false">LEFT(Sheet1!R9,FIND(" ",Sheet1!R9)-1)</f>
        <v>Employee</v>
      </c>
      <c r="C116" s="48" t="str">
        <f aca="false">UPPER(Sheet1!R9)</f>
        <v>EMPLOYEE 8</v>
      </c>
      <c r="D116" s="48" t="str">
        <f aca="false">LOWER(Sheet1!R9)</f>
        <v>employee 8</v>
      </c>
      <c r="E116" s="48" t="n">
        <f aca="false">LEN(Sheet1!R9)</f>
        <v>10</v>
      </c>
      <c r="F116" s="48" t="str">
        <f aca="false">PROPER(Sheet1!R9)</f>
        <v>Employee 8</v>
      </c>
    </row>
    <row r="117" customFormat="false" ht="15" hidden="false" customHeight="true" outlineLevel="0" collapsed="false">
      <c r="A117" s="47" t="str">
        <f aca="false">Sheet1!R10</f>
        <v>Employee 9</v>
      </c>
      <c r="B117" s="48" t="str">
        <f aca="false">LEFT(Sheet1!R10,FIND(" ",Sheet1!R10)-1)</f>
        <v>Employee</v>
      </c>
      <c r="C117" s="48" t="str">
        <f aca="false">UPPER(Sheet1!R10)</f>
        <v>EMPLOYEE 9</v>
      </c>
      <c r="D117" s="48" t="str">
        <f aca="false">LOWER(Sheet1!R10)</f>
        <v>employee 9</v>
      </c>
      <c r="E117" s="48" t="n">
        <f aca="false">LEN(Sheet1!R10)</f>
        <v>10</v>
      </c>
      <c r="F117" s="48" t="str">
        <f aca="false">PROPER(Sheet1!R10)</f>
        <v>Employee 9</v>
      </c>
    </row>
    <row r="118" customFormat="false" ht="15" hidden="false" customHeight="true" outlineLevel="0" collapsed="false">
      <c r="A118" s="47" t="str">
        <f aca="false">Sheet1!R11</f>
        <v>Employee 10</v>
      </c>
      <c r="B118" s="48" t="str">
        <f aca="false">LEFT(Sheet1!R11,FIND(" ",Sheet1!R11)-1)</f>
        <v>Employee</v>
      </c>
      <c r="C118" s="48" t="str">
        <f aca="false">UPPER(Sheet1!R11)</f>
        <v>EMPLOYEE 10</v>
      </c>
      <c r="D118" s="48" t="str">
        <f aca="false">LOWER(Sheet1!R11)</f>
        <v>employee 10</v>
      </c>
      <c r="E118" s="48" t="n">
        <f aca="false">LEN(Sheet1!R11)</f>
        <v>11</v>
      </c>
      <c r="F118" s="48" t="str">
        <f aca="false">PROPER(Sheet1!R11)</f>
        <v>Employee 10</v>
      </c>
    </row>
    <row r="120" customFormat="false" ht="19.5" hidden="false" customHeight="true" outlineLevel="0" collapsed="false">
      <c r="A120" s="45" t="s">
        <v>276</v>
      </c>
      <c r="B120" s="45"/>
      <c r="C120" s="45"/>
      <c r="D120" s="45"/>
      <c r="E120" s="45"/>
      <c r="F120" s="45"/>
    </row>
    <row r="121" customFormat="false" ht="15" hidden="false" customHeight="true" outlineLevel="0" collapsed="false">
      <c r="A121" s="46" t="s">
        <v>277</v>
      </c>
      <c r="B121" s="46" t="s">
        <v>150</v>
      </c>
      <c r="C121" s="60"/>
      <c r="D121" s="56"/>
      <c r="E121" s="56"/>
      <c r="F121" s="56"/>
    </row>
    <row r="122" customFormat="false" ht="15" hidden="false" customHeight="true" outlineLevel="0" collapsed="false">
      <c r="A122" s="57" t="s">
        <v>278</v>
      </c>
      <c r="B122" s="58" t="n">
        <f aca="true">INDIRECT("Sheet1!E2")</f>
        <v>61</v>
      </c>
      <c r="C122" s="57"/>
      <c r="D122" s="57"/>
      <c r="E122" s="57"/>
      <c r="F122" s="57"/>
    </row>
    <row r="123" customFormat="false" ht="15" hidden="false" customHeight="true" outlineLevel="0" collapsed="false">
      <c r="A123" s="57" t="s">
        <v>279</v>
      </c>
      <c r="B123" s="58" t="n">
        <f aca="true">INDIRECT("Sheet1!N5")</f>
        <v>5264</v>
      </c>
      <c r="C123" s="57"/>
      <c r="D123" s="57"/>
      <c r="E123" s="57"/>
      <c r="F123" s="57"/>
    </row>
    <row r="124" customFormat="false" ht="15" hidden="false" customHeight="true" outlineLevel="0" collapsed="false">
      <c r="A124" s="57" t="s">
        <v>280</v>
      </c>
      <c r="B124" s="58" t="n">
        <f aca="true">INDIRECT("Sheet1!T10")</f>
        <v>90423</v>
      </c>
      <c r="C124" s="57"/>
      <c r="D124" s="57"/>
      <c r="E124" s="57"/>
      <c r="F124" s="57"/>
    </row>
    <row r="125" customFormat="false" ht="15" hidden="false" customHeight="true" outlineLevel="0" collapsed="false">
      <c r="A125" s="57" t="s">
        <v>281</v>
      </c>
      <c r="B125" s="58" t="n">
        <f aca="true">SUM(INDIRECT("Sheet1!E2:E21"))</f>
        <v>1604</v>
      </c>
      <c r="C125" s="57"/>
      <c r="D125" s="57"/>
      <c r="E125" s="57"/>
      <c r="F125" s="57"/>
    </row>
    <row r="126" customFormat="false" ht="15" hidden="false" customHeight="true" outlineLevel="0" collapsed="false">
      <c r="A126" s="57" t="s">
        <v>282</v>
      </c>
      <c r="B126" s="58" t="n">
        <f aca="true">AVERAGE(INDIRECT("Sheet1!N2:N21"))</f>
        <v>25386.25</v>
      </c>
      <c r="C126" s="57"/>
      <c r="D126" s="57"/>
      <c r="E126" s="57"/>
      <c r="F126" s="57"/>
    </row>
    <row r="128" customFormat="false" ht="19.5" hidden="false" customHeight="true" outlineLevel="0" collapsed="false">
      <c r="A128" s="45" t="s">
        <v>283</v>
      </c>
      <c r="B128" s="45"/>
      <c r="C128" s="45"/>
      <c r="D128" s="45"/>
      <c r="E128" s="45"/>
      <c r="F128" s="45"/>
    </row>
    <row r="129" customFormat="false" ht="15" hidden="false" customHeight="true" outlineLevel="0" collapsed="false">
      <c r="A129" s="46" t="s">
        <v>255</v>
      </c>
      <c r="B129" s="46" t="s">
        <v>150</v>
      </c>
      <c r="D129" s="56"/>
      <c r="E129" s="56"/>
      <c r="F129" s="56"/>
    </row>
    <row r="130" customFormat="false" ht="15" hidden="false" customHeight="true" outlineLevel="0" collapsed="false">
      <c r="A130" s="57" t="s">
        <v>284</v>
      </c>
      <c r="B130" s="58" t="n">
        <f aca="true">OFFSET(Sheet1!N2,3,0)</f>
        <v>5264</v>
      </c>
      <c r="D130" s="57"/>
      <c r="E130" s="57"/>
      <c r="F130" s="57"/>
    </row>
    <row r="131" customFormat="false" ht="15" hidden="false" customHeight="true" outlineLevel="0" collapsed="false">
      <c r="A131" s="57" t="s">
        <v>285</v>
      </c>
      <c r="B131" s="58" t="n">
        <f aca="true">SUM(OFFSET(Sheet1!N2,0,0,5,1))</f>
        <v>96800</v>
      </c>
      <c r="D131" s="57"/>
      <c r="E131" s="57"/>
      <c r="F131" s="57"/>
    </row>
    <row r="132" customFormat="false" ht="15" hidden="false" customHeight="true" outlineLevel="0" collapsed="false">
      <c r="A132" s="57" t="s">
        <v>286</v>
      </c>
      <c r="B132" s="58" t="n">
        <f aca="true">SUM(OFFSET(Sheet1!N21,-4,0,5,1))</f>
        <v>149698</v>
      </c>
      <c r="D132" s="57"/>
      <c r="E132" s="57"/>
      <c r="F132" s="57"/>
    </row>
    <row r="133" customFormat="false" ht="23.25" hidden="false" customHeight="true" outlineLevel="0" collapsed="false">
      <c r="A133" s="57" t="s">
        <v>287</v>
      </c>
      <c r="B133" s="58" t="n">
        <f aca="true">AVERAGE(OFFSET(Sheet1!E2,0,0,10,1))</f>
        <v>76.6</v>
      </c>
      <c r="D133" s="57"/>
      <c r="E133" s="57"/>
      <c r="F133" s="57"/>
    </row>
    <row r="135" customFormat="false" ht="19.5" hidden="false" customHeight="true" outlineLevel="0" collapsed="false">
      <c r="A135" s="45" t="s">
        <v>288</v>
      </c>
      <c r="B135" s="45"/>
      <c r="C135" s="45"/>
      <c r="D135" s="45"/>
      <c r="E135" s="45"/>
      <c r="F135" s="45"/>
    </row>
    <row r="136" customFormat="false" ht="18" hidden="false" customHeight="true" outlineLevel="0" collapsed="false">
      <c r="A136" s="46" t="s">
        <v>231</v>
      </c>
      <c r="B136" s="46" t="s">
        <v>18</v>
      </c>
      <c r="C136" s="46" t="s">
        <v>19</v>
      </c>
      <c r="D136" s="46" t="s">
        <v>236</v>
      </c>
      <c r="E136" s="46" t="s">
        <v>289</v>
      </c>
      <c r="F136" s="46" t="s">
        <v>290</v>
      </c>
    </row>
    <row r="137" customFormat="false" ht="15" hidden="false" customHeight="true" outlineLevel="0" collapsed="false">
      <c r="A137" s="47" t="str">
        <f aca="false">Sheet1!R2</f>
        <v>Employee 1</v>
      </c>
      <c r="B137" s="62" t="n">
        <f aca="false">Sheet1!U2</f>
        <v>42005</v>
      </c>
      <c r="C137" s="48" t="n">
        <f aca="true">DATEDIF(Sheet1!U2,TODAY(),"Y")</f>
        <v>11</v>
      </c>
      <c r="D137" s="48" t="n">
        <f aca="true">DATEDIF(Sheet1!U2,TODAY(),"M")</f>
        <v>134</v>
      </c>
      <c r="E137" s="63" t="n">
        <f aca="true">TODAY()-Sheet1!U2</f>
        <v>4098</v>
      </c>
      <c r="F137" s="48" t="n">
        <f aca="false">YEAR(Sheet1!U2)</f>
        <v>2015</v>
      </c>
    </row>
    <row r="138" customFormat="false" ht="15" hidden="false" customHeight="true" outlineLevel="0" collapsed="false">
      <c r="A138" s="47" t="str">
        <f aca="false">Sheet1!R3</f>
        <v>Employee 2</v>
      </c>
      <c r="B138" s="62" t="n">
        <f aca="false">Sheet1!U3</f>
        <v>42255</v>
      </c>
      <c r="C138" s="48" t="n">
        <f aca="true">DATEDIF(Sheet1!U3,TODAY(),"Y")</f>
        <v>10</v>
      </c>
      <c r="D138" s="48" t="n">
        <f aca="true">DATEDIF(Sheet1!U3,TODAY(),"M")</f>
        <v>126</v>
      </c>
      <c r="E138" s="63" t="n">
        <f aca="true">TODAY()-Sheet1!U3</f>
        <v>3848</v>
      </c>
      <c r="F138" s="48" t="n">
        <f aca="false">YEAR(Sheet1!U3)</f>
        <v>2015</v>
      </c>
    </row>
    <row r="139" customFormat="false" ht="15" hidden="false" customHeight="true" outlineLevel="0" collapsed="false">
      <c r="A139" s="47" t="str">
        <f aca="false">Sheet1!R4</f>
        <v>Employee 3</v>
      </c>
      <c r="B139" s="62" t="n">
        <f aca="false">Sheet1!U4</f>
        <v>42505</v>
      </c>
      <c r="C139" s="48" t="n">
        <f aca="true">DATEDIF(Sheet1!U4,TODAY(),"Y")</f>
        <v>9</v>
      </c>
      <c r="D139" s="48" t="n">
        <f aca="true">DATEDIF(Sheet1!U4,TODAY(),"M")</f>
        <v>118</v>
      </c>
      <c r="E139" s="63" t="n">
        <f aca="true">TODAY()-Sheet1!U4</f>
        <v>3598</v>
      </c>
      <c r="F139" s="48" t="n">
        <f aca="false">YEAR(Sheet1!U4)</f>
        <v>2016</v>
      </c>
    </row>
    <row r="140" customFormat="false" ht="15" hidden="false" customHeight="true" outlineLevel="0" collapsed="false">
      <c r="A140" s="47" t="str">
        <f aca="false">Sheet1!R5</f>
        <v>Employee 4</v>
      </c>
      <c r="B140" s="62" t="n">
        <f aca="false">Sheet1!U5</f>
        <v>42755</v>
      </c>
      <c r="C140" s="48" t="n">
        <f aca="true">DATEDIF(Sheet1!U5,TODAY(),"Y")</f>
        <v>9</v>
      </c>
      <c r="D140" s="48" t="n">
        <f aca="true">DATEDIF(Sheet1!U5,TODAY(),"M")</f>
        <v>110</v>
      </c>
      <c r="E140" s="63" t="n">
        <f aca="true">TODAY()-Sheet1!U5</f>
        <v>3348</v>
      </c>
      <c r="F140" s="48" t="n">
        <f aca="false">YEAR(Sheet1!U5)</f>
        <v>2017</v>
      </c>
    </row>
    <row r="141" customFormat="false" ht="15" hidden="false" customHeight="true" outlineLevel="0" collapsed="false">
      <c r="A141" s="47" t="str">
        <f aca="false">Sheet1!R6</f>
        <v>Employee 5</v>
      </c>
      <c r="B141" s="62" t="n">
        <f aca="false">Sheet1!U6</f>
        <v>43005</v>
      </c>
      <c r="C141" s="48" t="n">
        <f aca="true">DATEDIF(Sheet1!U6,TODAY(),"Y")</f>
        <v>8</v>
      </c>
      <c r="D141" s="48" t="n">
        <f aca="true">DATEDIF(Sheet1!U6,TODAY(),"M")</f>
        <v>101</v>
      </c>
      <c r="E141" s="63" t="n">
        <f aca="true">TODAY()-Sheet1!U6</f>
        <v>3098</v>
      </c>
      <c r="F141" s="48" t="n">
        <f aca="false">YEAR(Sheet1!U6)</f>
        <v>2017</v>
      </c>
    </row>
    <row r="142" customFormat="false" ht="15" hidden="false" customHeight="true" outlineLevel="0" collapsed="false">
      <c r="A142" s="47" t="str">
        <f aca="false">Sheet1!R7</f>
        <v>Employee 6</v>
      </c>
      <c r="B142" s="62" t="n">
        <f aca="false">Sheet1!U7</f>
        <v>43255</v>
      </c>
      <c r="C142" s="48" t="n">
        <f aca="true">DATEDIF(Sheet1!U7,TODAY(),"Y")</f>
        <v>7</v>
      </c>
      <c r="D142" s="48" t="n">
        <f aca="true">DATEDIF(Sheet1!U7,TODAY(),"M")</f>
        <v>93</v>
      </c>
      <c r="E142" s="63" t="n">
        <f aca="true">TODAY()-Sheet1!U7</f>
        <v>2848</v>
      </c>
      <c r="F142" s="48" t="n">
        <f aca="false">YEAR(Sheet1!U7)</f>
        <v>2018</v>
      </c>
    </row>
    <row r="143" customFormat="false" ht="15" hidden="false" customHeight="true" outlineLevel="0" collapsed="false">
      <c r="A143" s="47" t="str">
        <f aca="false">Sheet1!R8</f>
        <v>Employee 7</v>
      </c>
      <c r="B143" s="62" t="n">
        <f aca="false">Sheet1!U8</f>
        <v>43505</v>
      </c>
      <c r="C143" s="48" t="n">
        <f aca="true">DATEDIF(Sheet1!U8,TODAY(),"Y")</f>
        <v>7</v>
      </c>
      <c r="D143" s="48" t="n">
        <f aca="true">DATEDIF(Sheet1!U8,TODAY(),"M")</f>
        <v>85</v>
      </c>
      <c r="E143" s="63" t="n">
        <f aca="true">TODAY()-Sheet1!U8</f>
        <v>2598</v>
      </c>
      <c r="F143" s="48" t="n">
        <f aca="false">YEAR(Sheet1!U8)</f>
        <v>2019</v>
      </c>
    </row>
    <row r="144" customFormat="false" ht="15" hidden="false" customHeight="true" outlineLevel="0" collapsed="false">
      <c r="A144" s="47" t="str">
        <f aca="false">Sheet1!R9</f>
        <v>Employee 8</v>
      </c>
      <c r="B144" s="62" t="n">
        <f aca="false">Sheet1!U9</f>
        <v>43755</v>
      </c>
      <c r="C144" s="48" t="n">
        <f aca="true">DATEDIF(Sheet1!U9,TODAY(),"Y")</f>
        <v>6</v>
      </c>
      <c r="D144" s="48" t="n">
        <f aca="true">DATEDIF(Sheet1!U9,TODAY(),"M")</f>
        <v>77</v>
      </c>
      <c r="E144" s="63" t="n">
        <f aca="true">TODAY()-Sheet1!U9</f>
        <v>2348</v>
      </c>
      <c r="F144" s="48" t="n">
        <f aca="false">YEAR(Sheet1!U9)</f>
        <v>2019</v>
      </c>
    </row>
    <row r="145" customFormat="false" ht="15" hidden="false" customHeight="true" outlineLevel="0" collapsed="false">
      <c r="A145" s="47" t="str">
        <f aca="false">Sheet1!R10</f>
        <v>Employee 9</v>
      </c>
      <c r="B145" s="62" t="n">
        <f aca="false">Sheet1!U10</f>
        <v>44005</v>
      </c>
      <c r="C145" s="48" t="n">
        <f aca="true">DATEDIF(Sheet1!U10,TODAY(),"Y")</f>
        <v>5</v>
      </c>
      <c r="D145" s="48" t="n">
        <f aca="true">DATEDIF(Sheet1!U10,TODAY(),"M")</f>
        <v>68</v>
      </c>
      <c r="E145" s="63" t="n">
        <f aca="true">TODAY()-Sheet1!U10</f>
        <v>2098</v>
      </c>
      <c r="F145" s="48" t="n">
        <f aca="false">YEAR(Sheet1!U10)</f>
        <v>2020</v>
      </c>
    </row>
    <row r="146" customFormat="false" ht="15" hidden="false" customHeight="true" outlineLevel="0" collapsed="false">
      <c r="A146" s="47" t="str">
        <f aca="false">Sheet1!R11</f>
        <v>Employee 10</v>
      </c>
      <c r="B146" s="62" t="n">
        <f aca="false">Sheet1!U11</f>
        <v>44255</v>
      </c>
      <c r="C146" s="48" t="n">
        <f aca="true">DATEDIF(Sheet1!U11,TODAY(),"Y")</f>
        <v>5</v>
      </c>
      <c r="D146" s="48" t="n">
        <f aca="true">DATEDIF(Sheet1!U11,TODAY(),"M")</f>
        <v>60</v>
      </c>
      <c r="E146" s="63" t="n">
        <f aca="true">TODAY()-Sheet1!U11</f>
        <v>1848</v>
      </c>
      <c r="F146" s="48" t="n">
        <f aca="false">YEAR(Sheet1!U11)</f>
        <v>2021</v>
      </c>
    </row>
    <row r="147" customFormat="false" ht="15" hidden="false" customHeight="true" outlineLevel="0" collapsed="false">
      <c r="A147" s="47" t="str">
        <f aca="false">Sheet1!R12</f>
        <v>Employee 11</v>
      </c>
      <c r="B147" s="62" t="n">
        <f aca="false">Sheet1!U12</f>
        <v>44505</v>
      </c>
      <c r="C147" s="48" t="n">
        <f aca="true">DATEDIF(Sheet1!U12,TODAY(),"Y")</f>
        <v>4</v>
      </c>
      <c r="D147" s="48" t="n">
        <f aca="true">DATEDIF(Sheet1!U12,TODAY(),"M")</f>
        <v>52</v>
      </c>
      <c r="E147" s="63" t="n">
        <f aca="true">TODAY()-Sheet1!U12</f>
        <v>1598</v>
      </c>
      <c r="F147" s="48" t="n">
        <f aca="false">YEAR(Sheet1!U12)</f>
        <v>2021</v>
      </c>
    </row>
    <row r="148" customFormat="false" ht="15" hidden="false" customHeight="true" outlineLevel="0" collapsed="false">
      <c r="A148" s="47" t="str">
        <f aca="false">Sheet1!R13</f>
        <v>Employee 12</v>
      </c>
      <c r="B148" s="62" t="n">
        <f aca="false">Sheet1!U13</f>
        <v>44755</v>
      </c>
      <c r="C148" s="48" t="n">
        <f aca="true">DATEDIF(Sheet1!U13,TODAY(),"Y")</f>
        <v>3</v>
      </c>
      <c r="D148" s="48" t="n">
        <f aca="true">DATEDIF(Sheet1!U13,TODAY(),"M")</f>
        <v>44</v>
      </c>
      <c r="E148" s="63" t="n">
        <f aca="true">TODAY()-Sheet1!U13</f>
        <v>1348</v>
      </c>
      <c r="F148" s="48" t="n">
        <f aca="false">YEAR(Sheet1!U13)</f>
        <v>2022</v>
      </c>
    </row>
    <row r="149" customFormat="false" ht="15" hidden="false" customHeight="true" outlineLevel="0" collapsed="false">
      <c r="A149" s="47" t="str">
        <f aca="false">Sheet1!R14</f>
        <v>Employee 13</v>
      </c>
      <c r="B149" s="62" t="n">
        <f aca="false">Sheet1!U14</f>
        <v>45005</v>
      </c>
      <c r="C149" s="48" t="n">
        <f aca="true">DATEDIF(Sheet1!U14,TODAY(),"Y")</f>
        <v>3</v>
      </c>
      <c r="D149" s="48" t="n">
        <f aca="true">DATEDIF(Sheet1!U14,TODAY(),"M")</f>
        <v>36</v>
      </c>
      <c r="E149" s="63" t="n">
        <f aca="true">TODAY()-Sheet1!U14</f>
        <v>1098</v>
      </c>
      <c r="F149" s="48" t="n">
        <f aca="false">YEAR(Sheet1!U14)</f>
        <v>2023</v>
      </c>
    </row>
    <row r="150" customFormat="false" ht="15" hidden="false" customHeight="true" outlineLevel="0" collapsed="false">
      <c r="A150" s="47" t="str">
        <f aca="false">Sheet1!R15</f>
        <v>Employee 14</v>
      </c>
      <c r="B150" s="62" t="n">
        <f aca="false">Sheet1!U15</f>
        <v>45255</v>
      </c>
      <c r="C150" s="48" t="n">
        <f aca="true">DATEDIF(Sheet1!U15,TODAY(),"Y")</f>
        <v>2</v>
      </c>
      <c r="D150" s="48" t="n">
        <f aca="true">DATEDIF(Sheet1!U15,TODAY(),"M")</f>
        <v>27</v>
      </c>
      <c r="E150" s="63" t="n">
        <f aca="true">TODAY()-Sheet1!U15</f>
        <v>848</v>
      </c>
      <c r="F150" s="48" t="n">
        <f aca="false">YEAR(Sheet1!U15)</f>
        <v>2023</v>
      </c>
    </row>
    <row r="151" customFormat="false" ht="15" hidden="false" customHeight="true" outlineLevel="0" collapsed="false">
      <c r="A151" s="47" t="str">
        <f aca="false">Sheet1!R16</f>
        <v>Employee 15</v>
      </c>
      <c r="B151" s="62" t="n">
        <f aca="false">Sheet1!U16</f>
        <v>45505</v>
      </c>
      <c r="C151" s="48" t="n">
        <f aca="true">DATEDIF(Sheet1!U16,TODAY(),"Y")</f>
        <v>1</v>
      </c>
      <c r="D151" s="48" t="n">
        <f aca="true">DATEDIF(Sheet1!U16,TODAY(),"M")</f>
        <v>19</v>
      </c>
      <c r="E151" s="63" t="n">
        <f aca="true">TODAY()-Sheet1!U16</f>
        <v>598</v>
      </c>
      <c r="F151" s="48" t="n">
        <f aca="false">YEAR(Sheet1!U16)</f>
        <v>2024</v>
      </c>
    </row>
    <row r="152" customFormat="false" ht="15" hidden="false" customHeight="true" outlineLevel="0" collapsed="false">
      <c r="A152" s="47" t="str">
        <f aca="false">Sheet1!R17</f>
        <v>Employee 16</v>
      </c>
      <c r="B152" s="62" t="n">
        <f aca="false">Sheet1!U17</f>
        <v>45755</v>
      </c>
      <c r="C152" s="48" t="n">
        <f aca="true">DATEDIF(Sheet1!U17,TODAY(),"Y")</f>
        <v>0</v>
      </c>
      <c r="D152" s="48" t="n">
        <f aca="true">DATEDIF(Sheet1!U17,TODAY(),"M")</f>
        <v>11</v>
      </c>
      <c r="E152" s="63" t="n">
        <f aca="true">TODAY()-Sheet1!U17</f>
        <v>348</v>
      </c>
      <c r="F152" s="48" t="n">
        <f aca="false">YEAR(Sheet1!U17)</f>
        <v>2025</v>
      </c>
    </row>
    <row r="153" customFormat="false" ht="15" hidden="false" customHeight="true" outlineLevel="0" collapsed="false">
      <c r="A153" s="47" t="str">
        <f aca="false">Sheet1!R18</f>
        <v>Employee 17</v>
      </c>
      <c r="B153" s="62" t="n">
        <f aca="false">Sheet1!U18</f>
        <v>46005</v>
      </c>
      <c r="C153" s="48" t="n">
        <f aca="true">DATEDIF(Sheet1!U18,TODAY(),"Y")</f>
        <v>0</v>
      </c>
      <c r="D153" s="48" t="n">
        <f aca="true">DATEDIF(Sheet1!U18,TODAY(),"M")</f>
        <v>3</v>
      </c>
      <c r="E153" s="63" t="n">
        <f aca="true">TODAY()-Sheet1!U18</f>
        <v>98</v>
      </c>
      <c r="F153" s="48" t="n">
        <f aca="false">YEAR(Sheet1!U18)</f>
        <v>2025</v>
      </c>
    </row>
    <row r="154" customFormat="false" ht="15" hidden="false" customHeight="true" outlineLevel="0" collapsed="false">
      <c r="A154" s="47" t="str">
        <f aca="false">Sheet1!R19</f>
        <v>Employee 18</v>
      </c>
      <c r="B154" s="62" t="n">
        <f aca="false">Sheet1!U19</f>
        <v>46255</v>
      </c>
      <c r="C154" s="48" t="n">
        <f aca="true">IF(Sheet1!U19&gt;TODAY(),0,DATEDIF(Sheet1!U19,TODAY(),"Y"))</f>
        <v>0</v>
      </c>
      <c r="D154" s="48" t="n">
        <f aca="true">IF(Sheet1!U19&gt;TODAY(),0,DATEDIF(Sheet1!U19,TODAY(),"M"))</f>
        <v>0</v>
      </c>
      <c r="E154" s="63" t="n">
        <f aca="true">IF(Sheet1!U19&gt;TODAY(),0,INT(TODAY()-Sheet1!U19))</f>
        <v>0</v>
      </c>
      <c r="F154" s="48" t="n">
        <f aca="false">YEAR(Sheet1!U19)</f>
        <v>2026</v>
      </c>
    </row>
    <row r="155" customFormat="false" ht="15" hidden="false" customHeight="true" outlineLevel="0" collapsed="false">
      <c r="A155" s="47" t="str">
        <f aca="false">Sheet1!R20</f>
        <v>Employee 19</v>
      </c>
      <c r="B155" s="62" t="n">
        <f aca="false">Sheet1!U20</f>
        <v>46505</v>
      </c>
      <c r="C155" s="48" t="n">
        <f aca="true">IF(Sheet1!U20&gt;TODAY(),0,DATEDIF(Sheet1!U20,TODAY(),"Y"))</f>
        <v>0</v>
      </c>
      <c r="D155" s="48" t="n">
        <f aca="true">IF(Sheet1!U20&gt;TODAY(),0,DATEDIF(Sheet1!U20,TODAY(),"M"))</f>
        <v>0</v>
      </c>
      <c r="E155" s="63" t="n">
        <f aca="true">IF(Sheet1!U20&gt;TODAY(),0,INT(TODAY()-Sheet1!U20))</f>
        <v>0</v>
      </c>
      <c r="F155" s="48" t="n">
        <f aca="false">YEAR(Sheet1!U20)</f>
        <v>2027</v>
      </c>
    </row>
    <row r="156" customFormat="false" ht="15" hidden="false" customHeight="true" outlineLevel="0" collapsed="false">
      <c r="A156" s="47" t="str">
        <f aca="false">Sheet1!R21</f>
        <v>Employee 20</v>
      </c>
      <c r="B156" s="62" t="n">
        <f aca="false">Sheet1!U21</f>
        <v>46755</v>
      </c>
      <c r="C156" s="48" t="n">
        <f aca="true">IF(Sheet1!U21&gt;TODAY(),0,DATEDIF(Sheet1!U21,TODAY(),"Y"))</f>
        <v>0</v>
      </c>
      <c r="D156" s="48" t="n">
        <f aca="true">IF(Sheet1!U21&gt;TODAY(),0,DATEDIF(Sheet1!U21,TODAY(),"M"))</f>
        <v>0</v>
      </c>
      <c r="E156" s="63" t="n">
        <f aca="true">IF(Sheet1!U21&gt;TODAY(),0,INT(TODAY()-Sheet1!U21))</f>
        <v>0</v>
      </c>
      <c r="F156" s="48" t="n">
        <f aca="false">YEAR(Sheet1!U21)</f>
        <v>2028</v>
      </c>
    </row>
    <row r="158" customFormat="false" ht="15" hidden="false" customHeight="true" outlineLevel="0" collapsed="false">
      <c r="A158" s="64" t="s">
        <v>291</v>
      </c>
      <c r="B158" s="64"/>
      <c r="C158" s="64"/>
      <c r="D158" s="64"/>
      <c r="E158" s="64"/>
      <c r="F158" s="64"/>
    </row>
    <row r="159" customFormat="false" ht="15" hidden="false" customHeight="true" outlineLevel="0" collapsed="false">
      <c r="A159" s="65" t="s">
        <v>292</v>
      </c>
      <c r="B159" s="66" t="n">
        <f aca="false">Sheet1!H21-Sheet1!H2</f>
        <v>3420</v>
      </c>
      <c r="C159" s="65"/>
      <c r="D159" s="65"/>
      <c r="E159" s="65"/>
      <c r="F159" s="65"/>
    </row>
    <row r="161" customFormat="false" ht="19.5" hidden="false" customHeight="true" outlineLevel="0" collapsed="false">
      <c r="A161" s="45" t="s">
        <v>293</v>
      </c>
      <c r="B161" s="45"/>
      <c r="C161" s="45"/>
      <c r="D161" s="45"/>
      <c r="E161" s="45"/>
      <c r="F161" s="45"/>
    </row>
    <row r="162" customFormat="false" ht="18" hidden="false" customHeight="true" outlineLevel="0" collapsed="false">
      <c r="A162" s="46" t="s">
        <v>8</v>
      </c>
      <c r="B162" s="46" t="s">
        <v>294</v>
      </c>
      <c r="C162" s="46" t="s">
        <v>295</v>
      </c>
      <c r="D162" s="46" t="s">
        <v>296</v>
      </c>
      <c r="E162" s="46" t="s">
        <v>297</v>
      </c>
      <c r="F162" s="46" t="s">
        <v>298</v>
      </c>
    </row>
    <row r="163" customFormat="false" ht="15" hidden="false" customHeight="true" outlineLevel="0" collapsed="false">
      <c r="A163" s="47" t="n">
        <f aca="false">Sheet1!J2</f>
        <v>2001</v>
      </c>
      <c r="B163" s="67" t="n">
        <f aca="false">Sheet1!N2</f>
        <v>7048</v>
      </c>
      <c r="C163" s="68" t="n">
        <f aca="false">ROUND(Sheet1!N2,-2)</f>
        <v>7000</v>
      </c>
      <c r="D163" s="68" t="n">
        <f aca="false">CEILING(Sheet1!N2,500)</f>
        <v>7500</v>
      </c>
      <c r="E163" s="68" t="n">
        <f aca="false">FLOOR(Sheet1!N2,500)</f>
        <v>7000</v>
      </c>
      <c r="F163" s="69" t="n">
        <f aca="false">ROUND(Sheet1!N2/1000,2)</f>
        <v>7.05</v>
      </c>
    </row>
    <row r="164" customFormat="false" ht="15" hidden="false" customHeight="true" outlineLevel="0" collapsed="false">
      <c r="A164" s="47" t="n">
        <f aca="false">Sheet1!J3</f>
        <v>2002</v>
      </c>
      <c r="B164" s="67" t="n">
        <f aca="false">Sheet1!N3</f>
        <v>17428</v>
      </c>
      <c r="C164" s="68" t="n">
        <f aca="false">ROUND(Sheet1!N3,-2)</f>
        <v>17400</v>
      </c>
      <c r="D164" s="68" t="n">
        <f aca="false">CEILING(Sheet1!N3,500)</f>
        <v>17500</v>
      </c>
      <c r="E164" s="68" t="n">
        <f aca="false">FLOOR(Sheet1!N3,500)</f>
        <v>17000</v>
      </c>
      <c r="F164" s="69" t="n">
        <f aca="false">ROUND(Sheet1!N3/1000,2)</f>
        <v>17.43</v>
      </c>
    </row>
    <row r="165" customFormat="false" ht="15" hidden="false" customHeight="true" outlineLevel="0" collapsed="false">
      <c r="A165" s="47" t="n">
        <f aca="false">Sheet1!J4</f>
        <v>2003</v>
      </c>
      <c r="B165" s="67" t="n">
        <f aca="false">Sheet1!N4</f>
        <v>23672</v>
      </c>
      <c r="C165" s="68" t="n">
        <f aca="false">ROUND(Sheet1!N4,-2)</f>
        <v>23700</v>
      </c>
      <c r="D165" s="68" t="n">
        <f aca="false">CEILING(Sheet1!N4,500)</f>
        <v>24000</v>
      </c>
      <c r="E165" s="68" t="n">
        <f aca="false">FLOOR(Sheet1!N4,500)</f>
        <v>23500</v>
      </c>
      <c r="F165" s="69" t="n">
        <f aca="false">ROUND(Sheet1!N4/1000,2)</f>
        <v>23.67</v>
      </c>
    </row>
    <row r="166" customFormat="false" ht="15" hidden="false" customHeight="true" outlineLevel="0" collapsed="false">
      <c r="A166" s="47" t="n">
        <f aca="false">Sheet1!J5</f>
        <v>2004</v>
      </c>
      <c r="B166" s="67" t="n">
        <f aca="false">Sheet1!N5</f>
        <v>5264</v>
      </c>
      <c r="C166" s="68" t="n">
        <f aca="false">ROUND(Sheet1!N5,-2)</f>
        <v>5300</v>
      </c>
      <c r="D166" s="68" t="n">
        <f aca="false">CEILING(Sheet1!N5,500)</f>
        <v>5500</v>
      </c>
      <c r="E166" s="68" t="n">
        <f aca="false">FLOOR(Sheet1!N5,500)</f>
        <v>5000</v>
      </c>
      <c r="F166" s="69" t="n">
        <f aca="false">ROUND(Sheet1!N5/1000,2)</f>
        <v>5.26</v>
      </c>
    </row>
    <row r="167" customFormat="false" ht="15" hidden="false" customHeight="true" outlineLevel="0" collapsed="false">
      <c r="A167" s="47" t="n">
        <f aca="false">Sheet1!J6</f>
        <v>2005</v>
      </c>
      <c r="B167" s="67" t="n">
        <f aca="false">Sheet1!N6</f>
        <v>43388</v>
      </c>
      <c r="C167" s="68" t="n">
        <f aca="false">ROUND(Sheet1!N6,-2)</f>
        <v>43400</v>
      </c>
      <c r="D167" s="68" t="n">
        <f aca="false">CEILING(Sheet1!N6,500)</f>
        <v>43500</v>
      </c>
      <c r="E167" s="68" t="n">
        <f aca="false">FLOOR(Sheet1!N6,500)</f>
        <v>43000</v>
      </c>
      <c r="F167" s="69" t="n">
        <f aca="false">ROUND(Sheet1!N6/1000,2)</f>
        <v>43.39</v>
      </c>
    </row>
    <row r="168" customFormat="false" ht="15" hidden="false" customHeight="true" outlineLevel="0" collapsed="false">
      <c r="A168" s="47" t="n">
        <f aca="false">Sheet1!J7</f>
        <v>2006</v>
      </c>
      <c r="B168" s="67" t="n">
        <f aca="false">Sheet1!N7</f>
        <v>19757</v>
      </c>
      <c r="C168" s="68" t="n">
        <f aca="false">ROUND(Sheet1!N7,-2)</f>
        <v>19800</v>
      </c>
      <c r="D168" s="68" t="n">
        <f aca="false">CEILING(Sheet1!N7,500)</f>
        <v>20000</v>
      </c>
      <c r="E168" s="68" t="n">
        <f aca="false">FLOOR(Sheet1!N7,500)</f>
        <v>19500</v>
      </c>
      <c r="F168" s="69" t="n">
        <f aca="false">ROUND(Sheet1!N7/1000,2)</f>
        <v>19.76</v>
      </c>
    </row>
    <row r="169" customFormat="false" ht="15" hidden="false" customHeight="true" outlineLevel="0" collapsed="false">
      <c r="A169" s="47" t="n">
        <f aca="false">Sheet1!J8</f>
        <v>2007</v>
      </c>
      <c r="B169" s="67" t="n">
        <f aca="false">Sheet1!N8</f>
        <v>32058</v>
      </c>
      <c r="C169" s="68" t="n">
        <f aca="false">ROUND(Sheet1!N8,-2)</f>
        <v>32100</v>
      </c>
      <c r="D169" s="68" t="n">
        <f aca="false">CEILING(Sheet1!N8,500)</f>
        <v>32500</v>
      </c>
      <c r="E169" s="68" t="n">
        <f aca="false">FLOOR(Sheet1!N8,500)</f>
        <v>32000</v>
      </c>
      <c r="F169" s="69" t="n">
        <f aca="false">ROUND(Sheet1!N8/1000,2)</f>
        <v>32.06</v>
      </c>
    </row>
    <row r="170" customFormat="false" ht="15" hidden="false" customHeight="true" outlineLevel="0" collapsed="false">
      <c r="A170" s="47" t="n">
        <f aca="false">Sheet1!J9</f>
        <v>2008</v>
      </c>
      <c r="B170" s="67" t="n">
        <f aca="false">Sheet1!N9</f>
        <v>46429</v>
      </c>
      <c r="C170" s="68" t="n">
        <f aca="false">ROUND(Sheet1!N9,-2)</f>
        <v>46400</v>
      </c>
      <c r="D170" s="68" t="n">
        <f aca="false">CEILING(Sheet1!N9,500)</f>
        <v>46500</v>
      </c>
      <c r="E170" s="68" t="n">
        <f aca="false">FLOOR(Sheet1!N9,500)</f>
        <v>46000</v>
      </c>
      <c r="F170" s="69" t="n">
        <f aca="false">ROUND(Sheet1!N9/1000,2)</f>
        <v>46.43</v>
      </c>
    </row>
    <row r="171" customFormat="false" ht="15" hidden="false" customHeight="true" outlineLevel="0" collapsed="false">
      <c r="A171" s="47" t="n">
        <f aca="false">Sheet1!J10</f>
        <v>2009</v>
      </c>
      <c r="B171" s="67" t="n">
        <f aca="false">Sheet1!N10</f>
        <v>19746</v>
      </c>
      <c r="C171" s="68" t="n">
        <f aca="false">ROUND(Sheet1!N10,-2)</f>
        <v>19700</v>
      </c>
      <c r="D171" s="68" t="n">
        <f aca="false">CEILING(Sheet1!N10,500)</f>
        <v>20000</v>
      </c>
      <c r="E171" s="68" t="n">
        <f aca="false">FLOOR(Sheet1!N10,500)</f>
        <v>19500</v>
      </c>
      <c r="F171" s="69" t="n">
        <f aca="false">ROUND(Sheet1!N10/1000,2)</f>
        <v>19.75</v>
      </c>
    </row>
    <row r="172" customFormat="false" ht="15" hidden="false" customHeight="true" outlineLevel="0" collapsed="false">
      <c r="A172" s="47" t="n">
        <f aca="false">Sheet1!J11</f>
        <v>2010</v>
      </c>
      <c r="B172" s="67" t="n">
        <f aca="false">Sheet1!N11</f>
        <v>35185</v>
      </c>
      <c r="C172" s="68" t="n">
        <f aca="false">ROUND(Sheet1!N11,-2)</f>
        <v>35200</v>
      </c>
      <c r="D172" s="68" t="n">
        <f aca="false">CEILING(Sheet1!N11,500)</f>
        <v>35500</v>
      </c>
      <c r="E172" s="68" t="n">
        <f aca="false">FLOOR(Sheet1!N11,500)</f>
        <v>35000</v>
      </c>
      <c r="F172" s="69" t="n">
        <f aca="false">ROUND(Sheet1!N11/1000,2)</f>
        <v>35.19</v>
      </c>
    </row>
    <row r="173" customFormat="false" ht="15" hidden="false" customHeight="true" outlineLevel="0" collapsed="false">
      <c r="A173" s="47" t="n">
        <f aca="false">Sheet1!J12</f>
        <v>2011</v>
      </c>
      <c r="B173" s="67" t="n">
        <f aca="false">Sheet1!N12</f>
        <v>33920</v>
      </c>
      <c r="C173" s="68" t="n">
        <f aca="false">ROUND(Sheet1!N12,-2)</f>
        <v>33900</v>
      </c>
      <c r="D173" s="68" t="n">
        <f aca="false">CEILING(Sheet1!N12,500)</f>
        <v>34000</v>
      </c>
      <c r="E173" s="68" t="n">
        <f aca="false">FLOOR(Sheet1!N12,500)</f>
        <v>33500</v>
      </c>
      <c r="F173" s="69" t="n">
        <f aca="false">ROUND(Sheet1!N12/1000,2)</f>
        <v>33.92</v>
      </c>
    </row>
    <row r="174" customFormat="false" ht="15" hidden="false" customHeight="true" outlineLevel="0" collapsed="false">
      <c r="A174" s="47" t="n">
        <f aca="false">Sheet1!J13</f>
        <v>2012</v>
      </c>
      <c r="B174" s="67" t="n">
        <f aca="false">Sheet1!N13</f>
        <v>35611</v>
      </c>
      <c r="C174" s="68" t="n">
        <f aca="false">ROUND(Sheet1!N13,-2)</f>
        <v>35600</v>
      </c>
      <c r="D174" s="68" t="n">
        <f aca="false">CEILING(Sheet1!N13,500)</f>
        <v>36000</v>
      </c>
      <c r="E174" s="68" t="n">
        <f aca="false">FLOOR(Sheet1!N13,500)</f>
        <v>35500</v>
      </c>
      <c r="F174" s="69" t="n">
        <f aca="false">ROUND(Sheet1!N13/1000,2)</f>
        <v>35.61</v>
      </c>
    </row>
    <row r="175" customFormat="false" ht="15" hidden="false" customHeight="true" outlineLevel="0" collapsed="false">
      <c r="A175" s="47" t="n">
        <f aca="false">Sheet1!J14</f>
        <v>2013</v>
      </c>
      <c r="B175" s="67" t="n">
        <f aca="false">Sheet1!N14</f>
        <v>15560</v>
      </c>
      <c r="C175" s="68" t="n">
        <f aca="false">ROUND(Sheet1!N14,-2)</f>
        <v>15600</v>
      </c>
      <c r="D175" s="68" t="n">
        <f aca="false">CEILING(Sheet1!N14,500)</f>
        <v>16000</v>
      </c>
      <c r="E175" s="68" t="n">
        <f aca="false">FLOOR(Sheet1!N14,500)</f>
        <v>15500</v>
      </c>
      <c r="F175" s="69" t="n">
        <f aca="false">ROUND(Sheet1!N14/1000,2)</f>
        <v>15.56</v>
      </c>
    </row>
    <row r="176" customFormat="false" ht="15" hidden="false" customHeight="true" outlineLevel="0" collapsed="false">
      <c r="A176" s="47" t="n">
        <f aca="false">Sheet1!J15</f>
        <v>2014</v>
      </c>
      <c r="B176" s="67" t="n">
        <f aca="false">Sheet1!N15</f>
        <v>7283</v>
      </c>
      <c r="C176" s="68" t="n">
        <f aca="false">ROUND(Sheet1!N15,-2)</f>
        <v>7300</v>
      </c>
      <c r="D176" s="68" t="n">
        <f aca="false">CEILING(Sheet1!N15,500)</f>
        <v>7500</v>
      </c>
      <c r="E176" s="68" t="n">
        <f aca="false">FLOOR(Sheet1!N15,500)</f>
        <v>7000</v>
      </c>
      <c r="F176" s="69" t="n">
        <f aca="false">ROUND(Sheet1!N15/1000,2)</f>
        <v>7.28</v>
      </c>
    </row>
    <row r="177" customFormat="false" ht="15" hidden="false" customHeight="true" outlineLevel="0" collapsed="false">
      <c r="A177" s="47" t="n">
        <f aca="false">Sheet1!J16</f>
        <v>2015</v>
      </c>
      <c r="B177" s="67" t="n">
        <f aca="false">Sheet1!N16</f>
        <v>15678</v>
      </c>
      <c r="C177" s="68" t="n">
        <f aca="false">ROUND(Sheet1!N16,-2)</f>
        <v>15700</v>
      </c>
      <c r="D177" s="68" t="n">
        <f aca="false">CEILING(Sheet1!N16,500)</f>
        <v>16000</v>
      </c>
      <c r="E177" s="68" t="n">
        <f aca="false">FLOOR(Sheet1!N16,500)</f>
        <v>15500</v>
      </c>
      <c r="F177" s="69" t="n">
        <f aca="false">ROUND(Sheet1!N16/1000,2)</f>
        <v>15.68</v>
      </c>
    </row>
    <row r="178" customFormat="false" ht="15" hidden="false" customHeight="true" outlineLevel="0" collapsed="false">
      <c r="A178" s="47" t="n">
        <f aca="false">Sheet1!J17</f>
        <v>2016</v>
      </c>
      <c r="B178" s="67" t="n">
        <f aca="false">Sheet1!N17</f>
        <v>5277</v>
      </c>
      <c r="C178" s="68" t="n">
        <f aca="false">ROUND(Sheet1!N17,-2)</f>
        <v>5300</v>
      </c>
      <c r="D178" s="68" t="n">
        <f aca="false">CEILING(Sheet1!N17,500)</f>
        <v>5500</v>
      </c>
      <c r="E178" s="68" t="n">
        <f aca="false">FLOOR(Sheet1!N17,500)</f>
        <v>5000</v>
      </c>
      <c r="F178" s="69" t="n">
        <f aca="false">ROUND(Sheet1!N17/1000,2)</f>
        <v>5.28</v>
      </c>
    </row>
    <row r="179" customFormat="false" ht="15" hidden="false" customHeight="true" outlineLevel="0" collapsed="false">
      <c r="A179" s="47" t="n">
        <f aca="false">Sheet1!J18</f>
        <v>2017</v>
      </c>
      <c r="B179" s="67" t="n">
        <f aca="false">Sheet1!N18</f>
        <v>41871</v>
      </c>
      <c r="C179" s="68" t="n">
        <f aca="false">ROUND(Sheet1!N18,-2)</f>
        <v>41900</v>
      </c>
      <c r="D179" s="68" t="n">
        <f aca="false">CEILING(Sheet1!N18,500)</f>
        <v>42000</v>
      </c>
      <c r="E179" s="68" t="n">
        <f aca="false">FLOOR(Sheet1!N18,500)</f>
        <v>41500</v>
      </c>
      <c r="F179" s="69" t="n">
        <f aca="false">ROUND(Sheet1!N18/1000,2)</f>
        <v>41.87</v>
      </c>
    </row>
    <row r="180" customFormat="false" ht="15" hidden="false" customHeight="true" outlineLevel="0" collapsed="false">
      <c r="A180" s="47" t="n">
        <f aca="false">Sheet1!J19</f>
        <v>2018</v>
      </c>
      <c r="B180" s="67" t="n">
        <f aca="false">Sheet1!N19</f>
        <v>38161</v>
      </c>
      <c r="C180" s="68" t="n">
        <f aca="false">ROUND(Sheet1!N19,-2)</f>
        <v>38200</v>
      </c>
      <c r="D180" s="68" t="n">
        <f aca="false">CEILING(Sheet1!N19,500)</f>
        <v>38500</v>
      </c>
      <c r="E180" s="68" t="n">
        <f aca="false">FLOOR(Sheet1!N19,500)</f>
        <v>38000</v>
      </c>
      <c r="F180" s="69" t="n">
        <f aca="false">ROUND(Sheet1!N19/1000,2)</f>
        <v>38.16</v>
      </c>
    </row>
    <row r="181" customFormat="false" ht="15" hidden="false" customHeight="true" outlineLevel="0" collapsed="false">
      <c r="A181" s="47" t="n">
        <f aca="false">Sheet1!J20</f>
        <v>2019</v>
      </c>
      <c r="B181" s="67" t="n">
        <f aca="false">Sheet1!N20</f>
        <v>30436</v>
      </c>
      <c r="C181" s="68" t="n">
        <f aca="false">ROUND(Sheet1!N20,-2)</f>
        <v>30400</v>
      </c>
      <c r="D181" s="68" t="n">
        <f aca="false">CEILING(Sheet1!N20,500)</f>
        <v>30500</v>
      </c>
      <c r="E181" s="68" t="n">
        <f aca="false">FLOOR(Sheet1!N20,500)</f>
        <v>30000</v>
      </c>
      <c r="F181" s="69" t="n">
        <f aca="false">ROUND(Sheet1!N20/1000,2)</f>
        <v>30.44</v>
      </c>
    </row>
    <row r="182" customFormat="false" ht="15" hidden="false" customHeight="true" outlineLevel="0" collapsed="false">
      <c r="A182" s="47" t="n">
        <f aca="false">Sheet1!J21</f>
        <v>2020</v>
      </c>
      <c r="B182" s="67" t="n">
        <f aca="false">Sheet1!N21</f>
        <v>33953</v>
      </c>
      <c r="C182" s="68" t="n">
        <f aca="false">ROUND(Sheet1!N21,-2)</f>
        <v>34000</v>
      </c>
      <c r="D182" s="68" t="n">
        <f aca="false">CEILING(Sheet1!N21,500)</f>
        <v>34000</v>
      </c>
      <c r="E182" s="68" t="n">
        <f aca="false">FLOOR(Sheet1!N21,500)</f>
        <v>33500</v>
      </c>
      <c r="F182" s="69" t="n">
        <f aca="false">ROUND(Sheet1!N21/1000,2)</f>
        <v>33.95</v>
      </c>
    </row>
    <row r="183" customFormat="false" ht="7.5" hidden="false" customHeight="true" outlineLevel="0" collapsed="false"/>
    <row r="184" customFormat="false" ht="21.75" hidden="false" customHeight="true" outlineLevel="0" collapsed="false">
      <c r="A184" s="19" t="s">
        <v>299</v>
      </c>
      <c r="B184" s="19"/>
      <c r="C184" s="19"/>
      <c r="D184" s="19"/>
      <c r="E184" s="19"/>
      <c r="F184" s="19"/>
    </row>
    <row r="185" customFormat="false" ht="15" hidden="false" customHeight="true" outlineLevel="0" collapsed="false">
      <c r="A185" s="35" t="s">
        <v>300</v>
      </c>
      <c r="B185" s="35"/>
      <c r="C185" s="35"/>
      <c r="D185" s="36" t="s">
        <v>301</v>
      </c>
      <c r="E185" s="36"/>
      <c r="F185" s="36"/>
    </row>
    <row r="186" customFormat="false" ht="15" hidden="false" customHeight="true" outlineLevel="0" collapsed="false">
      <c r="A186" s="20" t="s">
        <v>1</v>
      </c>
      <c r="B186" s="20" t="s">
        <v>2</v>
      </c>
      <c r="C186" s="20" t="s">
        <v>302</v>
      </c>
      <c r="D186" s="20" t="s">
        <v>8</v>
      </c>
      <c r="E186" s="20" t="s">
        <v>11</v>
      </c>
      <c r="F186" s="20" t="s">
        <v>12</v>
      </c>
    </row>
    <row r="187" customFormat="false" ht="30.75" hidden="false" customHeight="true" outlineLevel="0" collapsed="false">
      <c r="A187" s="70" t="n">
        <f aca="false">Sheet1!C4</f>
        <v>1003</v>
      </c>
      <c r="B187" s="21" t="str">
        <f aca="false">Sheet1!D4</f>
        <v>Student 3</v>
      </c>
      <c r="C187" s="21" t="n">
        <f aca="false">Sheet1!E4</f>
        <v>97</v>
      </c>
      <c r="D187" s="22" t="n">
        <f aca="false">Sheet1!J6</f>
        <v>2005</v>
      </c>
      <c r="E187" s="22" t="str">
        <f aca="false">Sheet1!M6</f>
        <v>Person 5</v>
      </c>
      <c r="F187" s="29" t="n">
        <f aca="false">Sheet1!N6</f>
        <v>43388</v>
      </c>
    </row>
    <row r="188" customFormat="false" ht="30" hidden="false" customHeight="true" outlineLevel="0" collapsed="false">
      <c r="A188" s="23" t="n">
        <f aca="false">Sheet1!C9</f>
        <v>1008</v>
      </c>
      <c r="B188" s="23" t="str">
        <f aca="false">Sheet1!D9</f>
        <v>Student 8</v>
      </c>
      <c r="C188" s="23" t="n">
        <f aca="false">Sheet1!E9</f>
        <v>94</v>
      </c>
      <c r="D188" s="38" t="n">
        <f aca="false">Sheet1!J8</f>
        <v>2007</v>
      </c>
      <c r="E188" s="38" t="str">
        <f aca="false">Sheet1!M8</f>
        <v>Person 7</v>
      </c>
      <c r="F188" s="39" t="n">
        <f aca="false">Sheet1!N8</f>
        <v>32058</v>
      </c>
    </row>
    <row r="189" customFormat="false" ht="14.25" hidden="false" customHeight="false" outlineLevel="0" collapsed="false">
      <c r="A189" s="21" t="n">
        <f aca="false">Sheet1!C11</f>
        <v>1010</v>
      </c>
      <c r="B189" s="21" t="str">
        <f aca="false">Sheet1!D11</f>
        <v>Student 10</v>
      </c>
      <c r="C189" s="21" t="n">
        <f aca="false">Sheet1!E11</f>
        <v>98</v>
      </c>
      <c r="D189" s="22" t="n">
        <f aca="false">Sheet1!J9</f>
        <v>2008</v>
      </c>
      <c r="E189" s="22" t="str">
        <f aca="false">Sheet1!M9</f>
        <v>Person 8</v>
      </c>
      <c r="F189" s="29" t="n">
        <f aca="false">Sheet1!N9</f>
        <v>46429</v>
      </c>
    </row>
    <row r="190" customFormat="false" ht="14.25" hidden="false" customHeight="false" outlineLevel="0" collapsed="false">
      <c r="A190" s="23" t="n">
        <f aca="false">Sheet1!C13</f>
        <v>1012</v>
      </c>
      <c r="B190" s="23" t="str">
        <f aca="false">Sheet1!D13</f>
        <v>Student 12</v>
      </c>
      <c r="C190" s="23" t="n">
        <f aca="false">Sheet1!E13</f>
        <v>85</v>
      </c>
      <c r="D190" s="38" t="n">
        <f aca="false">Sheet1!J11</f>
        <v>2010</v>
      </c>
      <c r="E190" s="38" t="str">
        <f aca="false">Sheet1!M11</f>
        <v>Person 10</v>
      </c>
      <c r="F190" s="39" t="n">
        <f aca="false">Sheet1!N11</f>
        <v>35185</v>
      </c>
    </row>
    <row r="191" customFormat="false" ht="14.25" hidden="false" customHeight="false" outlineLevel="0" collapsed="false">
      <c r="A191" s="21" t="n">
        <f aca="false">Sheet1!C14</f>
        <v>1013</v>
      </c>
      <c r="B191" s="21" t="str">
        <f aca="false">Sheet1!D14</f>
        <v>Student 13</v>
      </c>
      <c r="C191" s="21" t="n">
        <f aca="false">Sheet1!E14</f>
        <v>98</v>
      </c>
      <c r="D191" s="22" t="n">
        <f aca="false">Sheet1!J12</f>
        <v>2011</v>
      </c>
      <c r="E191" s="22" t="str">
        <f aca="false">Sheet1!M12</f>
        <v>Person 11</v>
      </c>
      <c r="F191" s="29" t="n">
        <f aca="false">Sheet1!N12</f>
        <v>33920</v>
      </c>
    </row>
    <row r="192" customFormat="false" ht="14.25" hidden="false" customHeight="false" outlineLevel="0" collapsed="false">
      <c r="A192" s="23" t="n">
        <f aca="false">Sheet1!C15</f>
        <v>1014</v>
      </c>
      <c r="B192" s="23" t="str">
        <f aca="false">Sheet1!D15</f>
        <v>Student 14</v>
      </c>
      <c r="C192" s="23" t="n">
        <f aca="false">Sheet1!E15</f>
        <v>93</v>
      </c>
      <c r="D192" s="38" t="n">
        <f aca="false">Sheet1!J13</f>
        <v>2012</v>
      </c>
      <c r="E192" s="38" t="str">
        <f aca="false">Sheet1!M13</f>
        <v>Person 12</v>
      </c>
      <c r="F192" s="39" t="n">
        <f aca="false">Sheet1!N13</f>
        <v>35611</v>
      </c>
    </row>
    <row r="193" customFormat="false" ht="14.25" hidden="false" customHeight="false" outlineLevel="0" collapsed="false">
      <c r="A193" s="21" t="n">
        <f aca="false">Sheet1!C17</f>
        <v>1016</v>
      </c>
      <c r="B193" s="21" t="str">
        <f aca="false">Sheet1!D17</f>
        <v>Student 16</v>
      </c>
      <c r="C193" s="21" t="n">
        <f aca="false">Sheet1!E17</f>
        <v>98</v>
      </c>
      <c r="D193" s="22" t="n">
        <f aca="false">Sheet1!J18</f>
        <v>2017</v>
      </c>
      <c r="E193" s="22" t="str">
        <f aca="false">Sheet1!M18</f>
        <v>Person 17</v>
      </c>
      <c r="F193" s="29" t="n">
        <f aca="false">Sheet1!N18</f>
        <v>41871</v>
      </c>
    </row>
    <row r="194" customFormat="false" ht="14.25" hidden="false" customHeight="false" outlineLevel="0" collapsed="false">
      <c r="A194" s="23" t="n">
        <f aca="false">Sheet1!C19</f>
        <v>1018</v>
      </c>
      <c r="B194" s="23" t="str">
        <f aca="false">Sheet1!D19</f>
        <v>Student 18</v>
      </c>
      <c r="C194" s="23" t="n">
        <f aca="false">Sheet1!E19</f>
        <v>82</v>
      </c>
      <c r="D194" s="38" t="n">
        <f aca="false">Sheet1!J19</f>
        <v>2018</v>
      </c>
      <c r="E194" s="38" t="str">
        <f aca="false">Sheet1!M19</f>
        <v>Person 18</v>
      </c>
      <c r="F194" s="39" t="n">
        <f aca="false">Sheet1!N19</f>
        <v>38161</v>
      </c>
    </row>
    <row r="195" customFormat="false" ht="14.25" hidden="false" customHeight="false" outlineLevel="0" collapsed="false">
      <c r="A195" s="21" t="n">
        <f aca="false">Sheet1!C20</f>
        <v>1019</v>
      </c>
      <c r="B195" s="21" t="str">
        <f aca="false">Sheet1!D20</f>
        <v>Student 19</v>
      </c>
      <c r="C195" s="21" t="n">
        <f aca="false">Sheet1!E20</f>
        <v>90</v>
      </c>
      <c r="D195" s="22" t="n">
        <f aca="false">Sheet1!J20</f>
        <v>2019</v>
      </c>
      <c r="E195" s="22" t="str">
        <f aca="false">Sheet1!M20</f>
        <v>Person 19</v>
      </c>
      <c r="F195" s="29" t="n">
        <f aca="false">Sheet1!N20</f>
        <v>30436</v>
      </c>
    </row>
    <row r="196" customFormat="false" ht="14.25" hidden="false" customHeight="false" outlineLevel="0" collapsed="false">
      <c r="A196" s="23" t="n">
        <f aca="false">Sheet1!C21</f>
        <v>1020</v>
      </c>
      <c r="B196" s="23" t="str">
        <f aca="false">Sheet1!D21</f>
        <v>Student 20</v>
      </c>
      <c r="C196" s="23" t="n">
        <f aca="false">Sheet1!E21</f>
        <v>83</v>
      </c>
      <c r="D196" s="38" t="n">
        <f aca="false">Sheet1!J21</f>
        <v>2020</v>
      </c>
      <c r="E196" s="38" t="str">
        <f aca="false">Sheet1!M21</f>
        <v>Person 20</v>
      </c>
      <c r="F196" s="39" t="n">
        <f aca="false">Sheet1!N21</f>
        <v>33953</v>
      </c>
    </row>
    <row r="197" customFormat="false" ht="27.75" hidden="false" customHeight="true" outlineLevel="0" collapsed="false">
      <c r="A197" s="71" t="s">
        <v>303</v>
      </c>
      <c r="B197" s="71"/>
      <c r="C197" s="71"/>
      <c r="D197" s="71"/>
      <c r="E197" s="71"/>
      <c r="F197" s="71"/>
    </row>
  </sheetData>
  <mergeCells count="51">
    <mergeCell ref="A1:F1"/>
    <mergeCell ref="A3:F3"/>
    <mergeCell ref="A26:F26"/>
    <mergeCell ref="A49:F49"/>
    <mergeCell ref="A72:F72"/>
    <mergeCell ref="D73:F73"/>
    <mergeCell ref="D74:F74"/>
    <mergeCell ref="D75:F75"/>
    <mergeCell ref="D76:F76"/>
    <mergeCell ref="D77:F77"/>
    <mergeCell ref="A78:F78"/>
    <mergeCell ref="D82:F82"/>
    <mergeCell ref="D83:F83"/>
    <mergeCell ref="A87:F87"/>
    <mergeCell ref="D88:F88"/>
    <mergeCell ref="D89:F89"/>
    <mergeCell ref="D90:F90"/>
    <mergeCell ref="D91:F91"/>
    <mergeCell ref="D92:F92"/>
    <mergeCell ref="A94:F94"/>
    <mergeCell ref="D95:F95"/>
    <mergeCell ref="D96:F96"/>
    <mergeCell ref="D97:F97"/>
    <mergeCell ref="D98:F98"/>
    <mergeCell ref="A100:F100"/>
    <mergeCell ref="D101:F101"/>
    <mergeCell ref="D102:F102"/>
    <mergeCell ref="D103:F103"/>
    <mergeCell ref="D104:F104"/>
    <mergeCell ref="D105:F105"/>
    <mergeCell ref="A107:F107"/>
    <mergeCell ref="A120:F120"/>
    <mergeCell ref="D121:F121"/>
    <mergeCell ref="D122:F122"/>
    <mergeCell ref="D123:F123"/>
    <mergeCell ref="D124:F124"/>
    <mergeCell ref="D125:F125"/>
    <mergeCell ref="D126:F126"/>
    <mergeCell ref="A128:F128"/>
    <mergeCell ref="D129:F129"/>
    <mergeCell ref="D130:F130"/>
    <mergeCell ref="D131:F131"/>
    <mergeCell ref="D132:F132"/>
    <mergeCell ref="D133:F133"/>
    <mergeCell ref="A135:F135"/>
    <mergeCell ref="A158:F158"/>
    <mergeCell ref="A161:F161"/>
    <mergeCell ref="A184:F184"/>
    <mergeCell ref="A185:C185"/>
    <mergeCell ref="D185:F185"/>
    <mergeCell ref="A197:F1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2026-03-22T15:59:45Z</dcterms:created>
  <dc:creator>ansh patoliya</dc:creator>
  <dc:description/>
  <dc:language>en-US</dc:language>
  <cp:lastModifiedBy>ansh patoliya</cp:lastModifiedBy>
  <dcterms:modified xsi:type="dcterms:W3CDTF">2026-03-22T16:43:00Z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